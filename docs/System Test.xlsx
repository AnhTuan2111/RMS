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s" sheetId="2" r:id="rId6"/>
    <sheet state="visible" name="Test Statistics" sheetId="3" r:id="rId7"/>
    <sheet state="visible" name="Booking Flow TestCase" sheetId="4" r:id="rId8"/>
    <sheet state="visible" name="Creating Order Flow TestCase" sheetId="5" r:id="rId9"/>
    <sheet state="visible" name="Customer Checkout Flow TestCase" sheetId="6" r:id="rId10"/>
  </sheets>
  <definedNames>
    <definedName name="ACTION">#REF!</definedName>
    <definedName localSheetId="0"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ID#AAACD9wXuRk
Unknown Author    (2026-07-22 15:35:26)
*A: Add
  M: Modify
  D: Delete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ID#AAACD9wXuRo
tqsang    (2026-07-22 15:35:26)
List all test cases (must run before this case), conditions that must be done, or required state that the system should be in before performing this case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ID#AAACD9wXuRg
tqsang    (2026-07-22 15:35:26)
List all test cases (must run before this case), conditions that must be done, or required state that the system should be in before performing this case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ID#AAACD9wXuRs
tqsang    (2026-07-22 15:35:26)
List all test cases (must run before this case), conditions that must be done, or required state that the system should be in before performing this case</t>
      </text>
    </comment>
  </commentList>
</comments>
</file>

<file path=xl/sharedStrings.xml><?xml version="1.0" encoding="utf-8"?>
<sst xmlns="http://schemas.openxmlformats.org/spreadsheetml/2006/main" count="722" uniqueCount="340">
  <si>
    <t>TEST STATISTICS</t>
  </si>
  <si>
    <t>TEST CASE LIST</t>
  </si>
  <si>
    <t>SYSTEM TEST REPORT DOCUMENT</t>
  </si>
  <si>
    <t>Workflow</t>
  </si>
  <si>
    <t>Project Name</t>
  </si>
  <si>
    <t>Booking WorkFlow</t>
  </si>
  <si>
    <t>Restaurant Internal Management System</t>
  </si>
  <si>
    <t>Creator</t>
  </si>
  <si>
    <t>Phạm Tuấn Anh</t>
  </si>
  <si>
    <t>Project Code</t>
  </si>
  <si>
    <t>RIMS</t>
  </si>
  <si>
    <t>Issue Date</t>
  </si>
  <si>
    <t>Reviewer/Approver</t>
  </si>
  <si>
    <t>Document Code</t>
  </si>
  <si>
    <t>SWP391_G3_SystemTestReport_v1.0</t>
  </si>
  <si>
    <t>Version</t>
  </si>
  <si>
    <t>V1.0</t>
  </si>
  <si>
    <t>Passed</t>
  </si>
  <si>
    <t>Test Environment Setup Description</t>
  </si>
  <si>
    <t>Record of change</t>
  </si>
  <si>
    <t>Test requirement</t>
  </si>
  <si>
    <r>
      <rPr>
        <rFont val="Tahoma"/>
        <i/>
        <color rgb="FF008000"/>
        <sz val="10.0"/>
      </rPr>
      <t xml:space="preserve">1. Server:
   - Backend: Spring Boot, http://localhost:8080 (base path: /rims)
   - Frontend: React + Vite, http://localhost:5173 (dev proxy forwards /rims/** and /ws-rims to backend)
   - WebSocket: STOMP over SockJS at /ws-rims
2. Database:
   - SQL Server, DB name: RIMS_DB, host: localhost:1433
   - Auto-recreated on backend restart (ddl-auto: create) — sample data reseeded each time
3. Web Browser: Chrome (latest), Edge (backup)
4. Stack: Spring Boot 4.0.6 / Java 21 backend, React 19 + TypeScript + Vite frontend, JWT auth, VNPay Sandbox payment
5. Test Accounts (password: 123456):
   admin / chef / waiter / cashier / customer1 (customer2-6 also available)
6. VNPay Sandbox:
   - URL: https://sandbox.vnpayment.vn/paymentv2/vpcpay.html
   - TMN Code: D90AVGT4
   - Return URL: </t>
    </r>
    <r>
      <rPr>
        <rFont val="Tahoma"/>
        <i/>
        <color rgb="FF1155CC"/>
        <sz val="10.0"/>
        <u/>
      </rPr>
      <t>http://localhost:8080/rims/cashier/payments/vnpay-callback</t>
    </r>
  </si>
  <si>
    <t>Verify that a Customer can create/cancel a table reservation, and a Waiter can view and manage reservations (including walk-in creation), with correct field validation and no double-booking of tables.</t>
  </si>
  <si>
    <t>Notes</t>
  </si>
  <si>
    <t>Release 1 includes 3 modules: Booking Flow,Creating Order Flow, Customer Checkout Flow.</t>
  </si>
  <si>
    <t>Effective Date</t>
  </si>
  <si>
    <t>Change Item</t>
  </si>
  <si>
    <t>*A,D,M</t>
  </si>
  <si>
    <t>Change description</t>
  </si>
  <si>
    <t>Reference</t>
  </si>
  <si>
    <t>Failed</t>
  </si>
  <si>
    <t>Number of TCs</t>
  </si>
  <si>
    <t>V1</t>
  </si>
  <si>
    <t>All test case sheets</t>
  </si>
  <si>
    <t>A</t>
  </si>
  <si>
    <t>Initial test case design</t>
  </si>
  <si>
    <t>SWP_SU26_G3_SRS_v2.0</t>
  </si>
  <si>
    <t>No</t>
  </si>
  <si>
    <t>Function Name</t>
  </si>
  <si>
    <t>Pending</t>
  </si>
  <si>
    <t>Sheet Name</t>
  </si>
  <si>
    <t>Description</t>
  </si>
  <si>
    <t>Pre-Condition</t>
  </si>
  <si>
    <t>Testing Round</t>
  </si>
  <si>
    <t>N/A</t>
  </si>
  <si>
    <t>Booking Flow</t>
  </si>
  <si>
    <t>Module code</t>
  </si>
  <si>
    <t>Booking Flow TestCase</t>
  </si>
  <si>
    <t>Number of  test cases</t>
  </si>
  <si>
    <t>End-to-end reservation flow: Customer creates/cancels a reservation; Waiter creates/views/cancels reservations via Table Management, with conflict validation before saving as QUEUED.</t>
  </si>
  <si>
    <t>Customer and Waiter accounts exist; at least one AVAILABLE table exists; system time within business hours.</t>
  </si>
  <si>
    <t>Round 1</t>
  </si>
  <si>
    <t>Creating Order Flow TestCase</t>
  </si>
  <si>
    <t>Ordering Flow TestCase</t>
  </si>
  <si>
    <t>End-to-end order creation: Waiter selects an AVAILABLE or RESERVED table (with reservation warning if applicable), adds dishes, confirms order; system sets table to SERVING; Chef sees the new order in the Kitchen Queue.</t>
  </si>
  <si>
    <t>Waiter and Chef accounts exist; menu items are available; target table is AVAILABLE or RESERVED (not SERVING).</t>
  </si>
  <si>
    <t>Round 2</t>
  </si>
  <si>
    <t>Customer Checkout Flow</t>
  </si>
  <si>
    <t>CCreating Order Flow TestCase</t>
  </si>
  <si>
    <t>End-to-end checkout flow: Cashier opens a SERVING table's order, optionally applies loyalty points, clicks Checkout; system blocks if any item is PREPARING, auto-closes without invoice if all items are CANCELLED, otherwise locks the order for Cash or VNPay payment.</t>
  </si>
  <si>
    <t>Cashier account exists; table is SERVING with an active order (no PREPARING items); VNPay sandbox reachable for online payment cases.</t>
  </si>
  <si>
    <t>Round 3</t>
  </si>
  <si>
    <t>Sub total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</si>
  <si>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</si>
  <si>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</si>
  <si>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</si>
  <si>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</si>
  <si>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</si>
  <si>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</si>
  <si>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</si>
  <si>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</si>
  <si>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Scenario A: Customer Creates a Reservation (Happy Path &amp; Required Fields)</t>
  </si>
  <si>
    <t>Test coverage</t>
  </si>
  <si>
    <t>TC_BOOK_01</t>
  </si>
  <si>
    <t>Customer submits a reservation with fully valid information</t>
  </si>
  <si>
    <t>1. Login as Customer.
2. Open Reservation Creation screen.
3. Enter Customer Name, Phone Number.
4. Select Reservation Date, Reservation Time.
5. Select an available Table.
6. Click Save.</t>
  </si>
  <si>
    <t>Reservation is created successfully; confirmation message is shown; new reservation appears in Active Reservations list.</t>
  </si>
  <si>
    <t>Customer account exists and is logged in; at least one table is available for the chosen date/time.</t>
  </si>
  <si>
    <t>Tuấn Anh</t>
  </si>
  <si>
    <t>%</t>
  </si>
  <si>
    <t>Hiền</t>
  </si>
  <si>
    <t>TC_BOOK_02</t>
  </si>
  <si>
    <t>Submit reservation with Customer Name left empty</t>
  </si>
  <si>
    <t>1. Open Reservation Creation screen.
2. Leave Customer Name empty, fill the rest validly.
3. Click Save.</t>
  </si>
  <si>
    <t>System shows a required-field validation message for Customer Name; reservation is NOT created.</t>
  </si>
  <si>
    <t>Customer is logged in.</t>
  </si>
  <si>
    <t>Test successful coverage</t>
  </si>
  <si>
    <t>TC_BOOK_03</t>
  </si>
  <si>
    <t>Submit reservation with Phone Number left empty</t>
  </si>
  <si>
    <t>1. Open Reservation Creation screen.
2. Leave Phone Number empty, fill the rest validly.
3. Click Save.</t>
  </si>
  <si>
    <t>System shows a required-field validation message for Phone Number; reservation is NOT created.</t>
  </si>
  <si>
    <t>Scenario B: Schedule &amp; Table Selection</t>
  </si>
  <si>
    <t>TC_BOOK_04</t>
  </si>
  <si>
    <t>Select an available table matching the reservation date/time</t>
  </si>
  <si>
    <t>1. Choose Reservation Date and Reservation Time.
2. Open Table Selection.
3. Select a table shown as available with sufficient capacity.
4. Click Save.</t>
  </si>
  <si>
    <t>Reservation is saved with the selected table and capacity; table is reserved for that time slot.</t>
  </si>
  <si>
    <t>Customer is logged in; at least one table free for the slot.</t>
  </si>
  <si>
    <t>TC_BOOK_05</t>
  </si>
  <si>
    <t>Attempt to select a table that is already reserved for the same date/time</t>
  </si>
  <si>
    <t>1. Choose a Reservation Date/Time that already has a confirmed reservation on Table X.
2. Try selecting Table X in Table Selection.</t>
  </si>
  <si>
    <t>Table X is not selectable / is shown unavailable for that slot; system prevents double-booking.</t>
  </si>
  <si>
    <t>Table X already has an active reservation at the tested date/time.</t>
  </si>
  <si>
    <t>Scenario C: Optional Note &amp; Cancel Creation</t>
  </si>
  <si>
    <t>TC_BOOK_06</t>
  </si>
  <si>
    <t>Submit reservation with an optional Note filled in</t>
  </si>
  <si>
    <t>1. Fill all required fields validly.
2. Enter text into the Note field.
3. Click Save.</t>
  </si>
  <si>
    <t>Reservation is created successfully and the Note content is saved and viewable on the reservation detail.</t>
  </si>
  <si>
    <t>TC_BOOK_07</t>
  </si>
  <si>
    <t>Submit reservation leaving Note blank</t>
  </si>
  <si>
    <t>1. Fill all required fields validly.
2. Leave Note empty.
3. Click Save.</t>
  </si>
  <si>
    <t>Reservation is created successfully (Note is optional, no validation error).</t>
  </si>
  <si>
    <t>TC_BOOK_08</t>
  </si>
  <si>
    <t>Cancel reservation creation before saving</t>
  </si>
  <si>
    <t>1. Fill in some reservation fields.
2. Click Cancel instead of Save.</t>
  </si>
  <si>
    <t>No reservation is created; user returns to the previous screen; entered data is discarded.</t>
  </si>
  <si>
    <t>Scenario D: Customer Views &amp; Cancels Reservation</t>
  </si>
  <si>
    <t>TC_BOOK_09</t>
  </si>
  <si>
    <t>Customer views the list of active reservations</t>
  </si>
  <si>
    <t>1. Open Reservation Cancellation screen.</t>
  </si>
  <si>
    <t>All active reservations linked to the logged-in customer are displayed with correct date/time/table status.</t>
  </si>
  <si>
    <t>Customer has at least one active reservation.</t>
  </si>
  <si>
    <t>TC_BOOK_10</t>
  </si>
  <si>
    <t>Customer cancels an eligible reservation</t>
  </si>
  <si>
    <t>1. Open Reservation Cancellation screen.
2. Select an eligible reservation.
3. Click Cancel Reservation.
4. Confirm the cancellation.</t>
  </si>
  <si>
    <t>Reservation status changes to Cancelled; the reserved table is released; reservation is removed from the active list.</t>
  </si>
  <si>
    <t>Customer has an active reservation in WAITING status (arrival time approaching, 
table already set to RESERVED).</t>
  </si>
  <si>
    <t>TC_BOOK_11</t>
  </si>
  <si>
    <t>Refresh button reloads the reservation list with updated status</t>
  </si>
  <si>
    <t>1. Open Reservation Cancellation screen.
2. Have another session update a reservation's status.
3. Click Refresh Button.</t>
  </si>
  <si>
    <t>The reservation list reloads and reflects the latest status without needing a full page reload.</t>
  </si>
  <si>
    <t>Customer has at least one reservation whose status changed elsewhere.</t>
  </si>
  <si>
    <t>Scenario E: Waiter Manages Reservation (Walk-in / Front Desk)</t>
  </si>
  <si>
    <t>TC_BOOK_12</t>
  </si>
  <si>
    <t>Waiter views reservation detail for a selected table/date</t>
  </si>
  <si>
    <t>1. Login as Waiter.
2. Open Current Reservation Detail screen.
3. Select a table with an existing reservation.</t>
  </si>
  <si>
    <t>Reservation details (customer name, phone, time, note) for that table are displayed correctly.</t>
  </si>
  <si>
    <t>Waiter is logged in; selected table has an existing reservation.</t>
  </si>
  <si>
    <t>TC_BOOK_13</t>
  </si>
  <si>
    <t>Waiter creates a new reservation directly (walk-in guest)</t>
  </si>
  <si>
    <t>1. Open Create Reservation screen (Waiter side).
2. Enter guest info, date/time, and select an available table.
3. Save.</t>
  </si>
  <si>
    <t>New reservation is created and visible in the reservation list; table availability is updated.</t>
  </si>
  <si>
    <t>Waiter is logged in; at least one table is free.</t>
  </si>
  <si>
    <t>TC_BOOK_14</t>
  </si>
  <si>
    <t>Waiter edits an existing reservation to a new time without conflict</t>
  </si>
  <si>
    <t>1. Open Edit Reservation for an existing reservation.
2. Change the reservation time to a slot with no conflict.
3. Save.</t>
  </si>
  <si>
    <t>Reservation is updated with the new time; no conflict error is shown; table availability is recalculated correctly.</t>
  </si>
  <si>
    <t>Waiter is logged in; an existing reservation is available to edit; target slot is free.</t>
  </si>
  <si>
    <t>TC_BOOK_15</t>
  </si>
  <si>
    <t>Attempt to cancel a reservation that is already Cancelled or Completed</t>
  </si>
  <si>
    <t>1. Open a reservation already in Cancelled/Completed status(or call cancel twice on the same reservation).
 2. Click Cancel Reservation again.</t>
  </si>
  <si>
    <t>System rejects with a clear error message (reservation already closed); no duplicate action, no side effects on table status.</t>
  </si>
  <si>
    <t>An existing reservation already has status Cancelled or Completed.</t>
  </si>
  <si>
    <t>Scenario F: Duplicate Booking Prevention (CustomerId &amp; Phone)</t>
  </si>
  <si>
    <t>TC_BOOK_16</t>
  </si>
  <si>
    <t>Block the creation of a second reservation when the Customer ID is the same but the Phone Number is different.</t>
  </si>
  <si>
    <t>1. Log in as Customer A. One reservation is active today with the phone number "0912345678".
2. Open Reservation Creation, create a new reservation for the same day, and enter a different phone number (e.g., "0987654321").
3. Click Save.</t>
  </si>
  <si>
    <t>The system refused to create the reservation with a clear message (already booked for the day); the reservation was NOT created even though the phone number entered was different from the previous reservation.</t>
  </si>
  <si>
    <t>Customer A has one active reservation (WAITING/CONFIRMED) today.</t>
  </si>
  <si>
    <t>TC_BOOK_17</t>
  </si>
  <si>
    <t>Block the creation of a second reservation if the Phone Number is the same but the Customer ID is different (or if the Waiter creates a walk-in).</t>
  </si>
  <si>
    <t>1. Customer A has an active reservation for today with the phone number "0912345678".
2. Log in as Customer B (a different Customer ID) or as a walk-in waiter, and enter the correct phone number "0912345678" for the new reservation for the same day.
3. Click Save.</t>
  </si>
  <si>
    <t>The system refused to create the reservation with a clear message; the reservation was NOT created even though the CustomerId associated with the request was different from the CustomerId of the existing reservation.</t>
  </si>
  <si>
    <t>Customer A has an active reservation today with the phone number "0912345678"; Customer B's account or Waiter privileges are available to create a walk-in.</t>
  </si>
  <si>
    <t>Creating Order Workflow</t>
  </si>
  <si>
    <t>Verify that a Waiter can create and update a table's order, that new/updated items are sent to the Chef's Kitchen Queue in real time, and that the Chef can complete, cancel, and annotate dishes correctly.</t>
  </si>
  <si>
    <t>Scenario A: Waiter Creates a New Order (Happy Path &amp; Validation)</t>
  </si>
  <si>
    <t>TC_ORD_01</t>
  </si>
  <si>
    <t>Create a new order with valid menu items</t>
  </si>
  <si>
    <t>1. Select table T09.  
2. Add "Há cảo tôm"  and "Trà ô long Đài Loan".  
3. Click Create Order.</t>
  </si>
  <si>
    <t xml:space="preserve">Order is created successfully. Order status becomes SERVING, dish status PREPARING. Table T09 updates status.  </t>
  </si>
  <si>
    <t xml:space="preserve">Waiter logged in (waiter); Table T09 available.  </t>
  </si>
  <si>
    <t>Vinh</t>
  </si>
  <si>
    <t xml:space="preserve">Anh Tuấn </t>
  </si>
  <si>
    <t>TC_ORD_02</t>
  </si>
  <si>
    <t>Search menu items by keyword in Create Order screen</t>
  </si>
  <si>
    <t>1. Open Create Order screen.
2. Type keyword "Dimsum" or "Lẩu" in the search bar.</t>
  </si>
  <si>
    <t>Menu filters correctly (e.g., "Dimsum" displays "Há cảo tôm", "Xíu mại tôm thịt"...; "Lẩu" displays "Lẩu Tứ Xuyên cay tê (Mala)")</t>
  </si>
  <si>
    <t>Waiter is on Create Order screen; menu items exist in the system.</t>
  </si>
  <si>
    <t>TC_ORD_03</t>
  </si>
  <si>
    <t>Filter menu items by category</t>
  </si>
  <si>
    <t>1. Open Create Order screen.
2. Select "Dimsum / Điểm tâm" or "Đồ uống" category.</t>
  </si>
  <si>
    <t>List updates instantly. Selecting "Đồ uống" shows only beverage items ("Trà hoa cúc Trung Hoa", "Bia Tsingtao"...).</t>
  </si>
  <si>
    <t>Waiter is on Create Order screen; multiple categories exist.</t>
  </si>
  <si>
    <t>TC_ORD_04</t>
  </si>
  <si>
    <t>Adjust item quantities using Quantity Controls</t>
  </si>
  <si>
    <t xml:space="preserve">1. Open Create Order screen.
2. Click + button.
3. Click - button.
4. Manually enter 3 in quantity field.  </t>
  </si>
  <si>
    <t>OrdetItem update to 3 quantity field dish.</t>
  </si>
  <si>
    <t>Waiter is on Create Order screen; Item "Cơm rang Dương Châu" added to cart (Default Qty: 1).</t>
  </si>
  <si>
    <t>TC_ORD_05</t>
  </si>
  <si>
    <t>Confirm order creation with an empty cart</t>
  </si>
  <si>
    <t>1. Open Create Order screen.
2. Leave cart empty.
3. Click "Tạo Đơn Hàng".</t>
  </si>
  <si>
    <t>System blocks action and displays error: "Vui lòng chọn ít nhất 1 món."</t>
  </si>
  <si>
    <t>Waiter is on Create Order screen; Waiter on Create Order screen for table T11.</t>
  </si>
  <si>
    <t>TC_ORD_06</t>
  </si>
  <si>
    <t>Order an out-of-stock (Unavailable) item</t>
  </si>
  <si>
    <t>1. Open Create Order screen.
2.Waiter navigates to Create Order screen.</t>
  </si>
  <si>
    <t>Item "Vịt quay Bắc Kinh nguyên con" is grayed out / marked "Out of Stock" and cannot be added to cart.</t>
  </si>
  <si>
    <t>Waiter is on Create Order screen; "Vịt quay Bắc Kinh nguyên con" marked isAvailable = false.</t>
  </si>
  <si>
    <t>Scenario B: Kitchen Receives &amp; Processes the Order</t>
  </si>
  <si>
    <t>TC_ORD_07</t>
  </si>
  <si>
    <t>Real-time order synchronization to Kitchen Queue</t>
  </si>
  <si>
    <t>1. Waiter submits order for table T02 with "Mapo đậu hũ Tứ Xuyên".  
2. Observe Chef's Kitchen Queue screen.</t>
  </si>
  <si>
    <t>Item card "Mapo đậu hũ Tứ Xuyên - Table T02" appears on Chef screen in PREPARING state within realtime without manual refresh.</t>
  </si>
  <si>
    <t>Waiter and Chef logged in on dual screens.</t>
  </si>
  <si>
    <t>TC_ORD_08</t>
  </si>
  <si>
    <t>Search/Filter Kitchen Queue by Table or Order ID</t>
  </si>
  <si>
    <t>1. Open Kitchen Queue.
2. Chef enters "T01" in Kitchen Queue search bar.</t>
  </si>
  <si>
    <t>Queue filters immediately to show only items belonging to table T01.</t>
  </si>
  <si>
    <t>Active order items present in Kitchen Queue.</t>
  </si>
  <si>
    <t>TC_ORD_09</t>
  </si>
  <si>
    <t>Chef marks a dish as Completed</t>
  </si>
  <si>
    <t>1. Open Kitchen Queue.
2. Chef clicks Complete Dish on "Gà cung bảo Tứ Xuyên".</t>
  </si>
  <si>
    <t>Dish status changes from PREPARING to COMPLETED. Item moves out of active cooking queue</t>
  </si>
  <si>
    <t>Item "Gà cung bảo Tứ Xuyên" for T03 is in PREPARING state.</t>
  </si>
  <si>
    <t>TC_ORD_10</t>
  </si>
  <si>
    <t>Chef cancels a dish with mandatory cancellation reason</t>
  </si>
  <si>
    <t>1. Open Kitchen Queue.
2. Click Cancel Dish without reason.
3. Enter reason "Out of fresh seafood".
4. Confirm cancellation.</t>
  </si>
  <si>
    <t>Empty reason is rejected. Valid cancellation updates dish status to CANCELLED and notifies Waiter in real-time.</t>
  </si>
  <si>
    <t>Item "Lẩu Quảng Đông hải sản - nồi 4 người" is in PREPARING state.</t>
  </si>
  <si>
    <t>TC_ORD_11</t>
  </si>
  <si>
    <t>Chef adds internal note for Waiter on preparing dish</t>
  </si>
  <si>
    <t>1. Open Preparing Dish Details.
2. Enter note: "Requires 10 more mins due to deep stewing".
3. Click Send Note.</t>
  </si>
  <si>
    <t>Note is saved and instantly displays under "Bò lúc lắc Quảng Đông" on Waiter Order Details screen.</t>
  </si>
  <si>
    <t>Item "Bò lúc lắc Quảng Đông" in PREPARING state.</t>
  </si>
  <si>
    <t>Scenario C: Advanced Business Logic &amp; Edge Cases</t>
  </si>
  <si>
    <t>TC_ORD_12</t>
  </si>
  <si>
    <t>Restrict editing completed dishes</t>
  </si>
  <si>
    <t>1. Waiter opens Edit Order for table T05. 
2. Attempts to delete or decrease qty of "Bánh bao xá xíu nướng".</t>
  </si>
  <si>
    <t>System disables modifications for COMPLETED items with warning: "Completed items cannot be modified or deleted."</t>
  </si>
  <si>
    <t xml:space="preserve">Item "Bánh bao xá xíu nướng" on T05 order is COMPLETED.  </t>
  </si>
  <si>
    <t>TC_ORD_13</t>
  </si>
  <si>
    <t>Real-time status update on Waiter screen</t>
  </si>
  <si>
    <t>1. Chef clicks Complete Dish for "Cá hấp Hồng Kông" (Table T07)</t>
  </si>
  <si>
    <t>Status on Waiter screen instantly updates to COMPLETED (green highlight) without page reload.</t>
  </si>
  <si>
    <t xml:space="preserve">Waiter views Order Details for T07; "Cá hấp Hồng Kông" is PREPARING.  </t>
  </si>
  <si>
    <t>Customer Checkout Workflow</t>
  </si>
  <si>
    <t>Verify that a Cashier can review an order, look up/register a customer, apply loyalty-point discounts within limits, complete payment via Cash or VNPay, and that a correct invoice/PDF is produced.</t>
  </si>
  <si>
    <t>Scenario A: View Order Details &amp; Find Customer</t>
  </si>
  <si>
    <t>TC_PAY_01</t>
  </si>
  <si>
    <t>Cashier views Order Details for a table ready to checkout (only COMPLETED items shown)</t>
  </si>
  <si>
    <t>1. Login as Cashier. 
2. Open Table Map. 
3. Select a table with a servable order. 
4. Open Order Details.</t>
  </si>
  <si>
    <t>Only OrderItems with status COMPLETED are displayed (PREPARING items do not appear); subtotal/running total is calculated only from these COMPLETED items, with correct 10% VAT.</t>
  </si>
  <si>
    <t>Cashier logged in; table has a SERVING order with at least 1 COMPLETED item.</t>
  </si>
  <si>
    <t>nghĩa</t>
  </si>
  <si>
    <t>Bắc</t>
  </si>
  <si>
    <t>TC_PAY_02</t>
  </si>
  <si>
    <t>Order Details when ALL items are still PREPARING (none COMPLETED yet)</t>
  </si>
  <si>
    <t>1. Open Order Details for a table whose order has all items still PREPARING.</t>
  </si>
  <si>
    <t>Item list displays empty; totalAmountBeforeVat/vatAmount/finalAmount all = 0, no error, no crash.</t>
  </si>
  <si>
    <t>Order has ≥1 item, all PREPARING.</t>
  </si>
  <si>
    <t>TC_PAY_03</t>
  </si>
  <si>
    <t>Cashier searches an existing customer by phone number</t>
  </si>
  <si>
    <t>1. Open Customer Loyalty search. 
2. Enter a phone number with an existing loyalty account.</t>
  </si>
  <si>
    <t>A customer with role CUSTOMER and this phone exists.</t>
  </si>
  <si>
    <t>Entered phone number does not belong to any existing customer.</t>
  </si>
  <si>
    <t>TC_PAY_04</t>
  </si>
  <si>
    <t>Cashier searches a phone number with no matching loyalty account</t>
  </si>
  <si>
    <t>1. Open Customer Loyalty search. 
2. Enter a phone with no account</t>
  </si>
  <si>
    <t>System shows "Chưa có tài khoản! Đăng ký nhanh" and create New Customer Registration.</t>
  </si>
  <si>
    <t>Phone doesn't belong to any CUSTOMER-role user.</t>
  </si>
  <si>
    <t>Scenario B: Loyalty Points &amp; New Customer Registration</t>
  </si>
  <si>
    <t>TC_PAY_05</t>
  </si>
  <si>
    <t>Apply a loyalty point redemption within the allowed limit</t>
  </si>
  <si>
    <t>1. With a linked customer whose points cover &lt; 50% of the bill, enter a valid redeem amount.
2. Apply.</t>
  </si>
  <si>
    <t>Discount = pointsUsed × 1,000 VND is subtracted from finalAmount; customer's remaining points are reduced correctly; newly earned points are calculated on the finalAmount AFTER the discount is applied.</t>
  </si>
  <si>
    <t>Customer has enough points for a valid redemption.</t>
  </si>
  <si>
    <t>TC_PAY_06</t>
  </si>
  <si>
    <t>Attempt to redeem points exceeding 50% of the invoice amount</t>
  </si>
  <si>
    <t>1. Enter a point amount whose discount &gt; 50% of finalAmount (customer still has enough points). 
2. Apply</t>
  </si>
  <si>
    <t>System does auto-cap to 50%; Cashier cannot input point higher than 50%</t>
  </si>
  <si>
    <t>Customer's points are large enough to exceed the 50% cap.</t>
  </si>
  <si>
    <t>TC_PAY_07</t>
  </si>
  <si>
    <t>Redeem exactly 50% of the invoice (boundary case)</t>
  </si>
  <si>
    <t>1. Enter a point amount whose discount = exactly 50% of finalAmount. 
2. Apply.</t>
  </si>
  <si>
    <t>Transaction is accepted(The accuracy must be 50%.)</t>
  </si>
  <si>
    <t>Customer has enough points for exactly 50%.</t>
  </si>
  <si>
    <t>TC_PAY_08</t>
  </si>
  <si>
    <t>Redeem when customer doesn't have enough points</t>
  </si>
  <si>
    <t>1. Enter a point amount greater than the customer's current rewardPoints. 
2. Apply.</t>
  </si>
  <si>
    <t>The system automatically limits the points to the customer's current balance (below 50% of the bill); cashiers cannot enter points higher than the current balance.</t>
  </si>
  <si>
    <t>Customer's points are less than the requested redeem amount.</t>
  </si>
  <si>
    <t>TC_PAY_09</t>
  </si>
  <si>
    <t>Register a new customer using the searched phone number</t>
  </si>
  <si>
    <t>1. From TC_04's "not found" result, click New Customer Registration. 
2. Fill info, Save.</t>
  </si>
  <si>
    <t>New account created with username=phone, rewardPoints=0, hashed default password, role CUSTOMER, automatically linked to the current invoice.</t>
  </si>
  <si>
    <t>Phone confirmed to not exist yet.</t>
  </si>
  <si>
    <t>TC_PAY_10</t>
  </si>
  <si>
    <t>Register new customer with a phone that already exists (race condition)</t>
  </si>
  <si>
    <t>1.Cashier search phone of staff
2.Register with info
3.Save</t>
  </si>
  <si>
    <t>show message"Lỗi tạo khách hàng. Có thể số điện thoại đã tồn tại!". Cannot register new customer</t>
  </si>
  <si>
    <t>The phone number already exists in the system.</t>
  </si>
  <si>
    <t>Scenario C: Order Lock &amp; Payment Confirmation (new — not in the original 13 cases)</t>
  </si>
  <si>
    <t>TC_PAY_11</t>
  </si>
  <si>
    <t>Confirm payment while order still has PREPARING items</t>
  </si>
  <si>
    <t>1. Cashier clicks "Confirm" (processPayment) for an order with ≥1 PREPARING item.</t>
  </si>
  <si>
    <t>Show message "Không thể thực hiện thanh toán đơn hàng.Vui lòng huỷ hoặc hoàn thành các món còn lại!".</t>
  </si>
  <si>
    <t>Order SERVING, has a PREPARING item.</t>
  </si>
  <si>
    <t>TC_PAY_12</t>
  </si>
  <si>
    <t>Confirm payment when order has no COMPLETED items at all (everything cancelled)</t>
  </si>
  <si>
    <t>1. Cashier clicks "Confirm" for an order where every item is CANCELLED.</t>
  </si>
  <si>
    <t>Orders are automatically canceled without generating an invoice.</t>
  </si>
  <si>
    <t>Order SERVING, all items CANCELLED, none COMPLETED.</t>
  </si>
  <si>
    <t>TC_PAY_13</t>
  </si>
  <si>
    <t>Cancel the payment process mid-way (unlockOrder)</t>
  </si>
  <si>
    <t>1. Order is LOCKED (confirmed but not yet paid). 
2. Cashier clicks Cancel/Back on the Payment Method screen.</t>
  </si>
  <si>
    <t>Order reverts to SERVING; pendingCustomerId, pendingPointsUsed, lockedAt are all cleared; table continues to be served normally, order can still be edited.</t>
  </si>
  <si>
    <t>Order currently LOCKED.</t>
  </si>
  <si>
    <t>Scenario D: Cash Payment</t>
  </si>
  <si>
    <t>TC_PAY_14</t>
  </si>
  <si>
    <t>Select Cash payment and confirm with sufficient amount</t>
  </si>
  <si>
    <t>1. Order already LOCKED. 
2. Choose Cash. 
3. Enter amountPaid ≥ finalAmount (after any discount). 
4. Confirm.</t>
  </si>
  <si>
    <t>Cash payment successful. A success screen appears and order information is displayed.</t>
  </si>
  <si>
    <t>Order LOCKED, finalAmount determined.</t>
  </si>
  <si>
    <t>TC_PAY_15</t>
  </si>
  <si>
    <t xml:space="preserve">Confirm blocked when amountPaid &lt; finalAmount </t>
  </si>
  <si>
    <t>1. Choose Cash. 
2. Enter amountPaid less than finalAmount after subtracting the previewed point discount (previewFinalAmount).</t>
  </si>
  <si>
    <t>Unable to confirm cash payment.</t>
  </si>
  <si>
    <t>Order LOCKED.</t>
  </si>
  <si>
    <t>Scenario E: VNPay Online Payment</t>
  </si>
  <si>
    <t>TC_PAY_16</t>
  </si>
  <si>
    <t>Select VNPay and generate payment link successfully</t>
  </si>
  <si>
    <t>1. Choose VNPay for an order (LOCKED/SERVING) with ≥1 COMPLETED item.</t>
  </si>
  <si>
    <t>VNPay link generated with correct amountVND; order transitions to LOCKED</t>
  </si>
  <si>
    <t>Order has finalAmount &gt; 0 (has COMPLETED item).</t>
  </si>
  <si>
    <t>TC_PAY_17</t>
  </si>
  <si>
    <t>VNPay callback success (processVnPaySuccess)</t>
  </si>
  <si>
    <t>1. Complete payment on VNPay sandbox. 
2. System receives the IPN callback.</t>
  </si>
  <si>
    <t>Display the successful payment screen for VNPAY/QR code.</t>
  </si>
  <si>
    <t>VNPay sandbox reachable; order LOCKED awaiting callback.</t>
  </si>
  <si>
    <t>TC_PAY_18</t>
  </si>
  <si>
    <t>VNPay callback failed/cancelled (processVnPayFailed)</t>
  </si>
  <si>
    <t>1. Cancel the transaction or use a failing test card on VNPay.</t>
  </si>
  <si>
    <t>Payment failed, displaying the "Payment Fail" screen.</t>
  </si>
  <si>
    <t>Order LOCKED awaiting callback.</t>
  </si>
  <si>
    <t>Scenario F: Loyalty Points Earn Calculation Detail</t>
  </si>
  <si>
    <t>TC_PAY_19</t>
  </si>
  <si>
    <t>Earned points are calculated on finalAmount AFTER the redemption discount, not the original total</t>
  </si>
  <si>
    <t>1. Customer redeems some points in the same invoice (e.g., original bill 1,000,000 VND, redeem 300 points = 300,000 VND discount). 
2. Complete payment.</t>
  </si>
  <si>
    <t>pointsEarned = 1% of (1,000,000 − 300,000) = 1% × 700,000 = 7,000 VND → 7 points (rounded down per 1,000), NOT 1% of the original 1,000,000 (which would be 10 points).</t>
  </si>
  <si>
    <t>Customer has enough points for a valid redemption in the same transaction.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</si>
</sst>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dd/mm/yyyy"/>
  </numFmts>
  <fonts count="26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/>
    <font>
      <b/>
      <sz val="10.0"/>
      <color rgb="FF000000"/>
      <name val="Tahoma"/>
    </font>
    <font>
      <b/>
      <sz val="26.0"/>
      <color rgb="FFFF0000"/>
      <name val="Tahoma"/>
    </font>
    <font>
      <b/>
      <sz val="10.0"/>
      <color theme="1"/>
      <name val="Tahoma"/>
    </font>
    <font>
      <sz val="10.0"/>
      <color rgb="FFFF0000"/>
      <name val="Tahoma"/>
    </font>
    <font>
      <b/>
      <sz val="10.0"/>
      <color rgb="FFFF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i/>
      <sz val="10.0"/>
      <color theme="1"/>
      <name val="Tahoma"/>
    </font>
    <font>
      <sz val="10.0"/>
      <color rgb="FF000000"/>
      <name val="Tahoma"/>
    </font>
    <font>
      <b/>
      <sz val="10.0"/>
      <color rgb="FFFFFFFF"/>
      <name val="Tahoma"/>
    </font>
    <font>
      <i/>
      <u/>
      <sz val="10.0"/>
      <color rgb="FF008000"/>
      <name val="Tahoma"/>
    </font>
    <font>
      <b/>
      <i/>
      <sz val="10.0"/>
      <color theme="1"/>
      <name val="Tahoma"/>
    </font>
    <font>
      <u/>
      <sz val="11.0"/>
      <color rgb="FF0000FF"/>
      <name val="MS PGothic"/>
    </font>
    <font>
      <u/>
      <sz val="10.0"/>
      <color rgb="FF000000"/>
      <name val="Tahoma"/>
    </font>
    <font>
      <u/>
      <sz val="10.0"/>
      <color rgb="FF000000"/>
      <name val="Tahoma"/>
    </font>
    <font>
      <u/>
      <sz val="10.0"/>
      <color rgb="FF0000FF"/>
      <name val="Tahoma"/>
    </font>
    <font>
      <sz val="10.0"/>
      <color rgb="FFFFFFFF"/>
      <name val="Tahoma"/>
    </font>
    <font>
      <b/>
      <color rgb="FF1F3864"/>
      <name val="Arial"/>
    </font>
    <font>
      <color rgb="FF000000"/>
      <name val="Arial"/>
    </font>
    <font>
      <b/>
      <sz val="10.0"/>
      <color rgb="FF0000FF"/>
      <name val="Tahoma"/>
    </font>
    <font>
      <color theme="1"/>
      <name val="Arial"/>
    </font>
    <font>
      <color theme="1"/>
      <name val="MS PGothic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2F5FA"/>
        <bgColor rgb="FFF2F5FA"/>
      </patternFill>
    </fill>
  </fills>
  <borders count="4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</border>
    <border>
      <left style="thin">
        <color rgb="FFB7C3D6"/>
      </left>
      <right style="thin">
        <color rgb="FFB7C3D6"/>
      </right>
      <top style="thin">
        <color rgb="FFB7C3D6"/>
      </top>
    </border>
    <border>
      <left/>
      <right/>
      <bottom/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3" fillId="0" fontId="3" numFmtId="0" xfId="0" applyBorder="1" applyFont="1"/>
    <xf borderId="1" fillId="2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7" numFmtId="0" xfId="0" applyAlignment="1" applyBorder="1" applyFont="1">
      <alignment shrinkToFit="0" vertical="top" wrapText="1"/>
    </xf>
    <xf borderId="1" fillId="2" fontId="8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1"/>
    </xf>
    <xf borderId="1" fillId="2" fontId="9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7" fillId="2" fontId="6" numFmtId="0" xfId="0" applyAlignment="1" applyBorder="1" applyFont="1">
      <alignment horizontal="center" shrinkToFit="0" vertical="top" wrapText="1"/>
    </xf>
    <xf borderId="8" fillId="2" fontId="9" numFmtId="0" xfId="0" applyAlignment="1" applyBorder="1" applyFont="1">
      <alignment horizontal="left" shrinkToFit="0" vertical="center" wrapText="0"/>
    </xf>
    <xf borderId="9" fillId="2" fontId="1" numFmtId="0" xfId="0" applyAlignment="1" applyBorder="1" applyFont="1">
      <alignment horizontal="left" readingOrder="0" shrinkToFit="0" vertical="top" wrapText="1"/>
    </xf>
    <xf borderId="10" fillId="0" fontId="3" numFmtId="0" xfId="0" applyBorder="1" applyFont="1"/>
    <xf borderId="11" fillId="0" fontId="3" numFmtId="0" xfId="0" applyBorder="1" applyFont="1"/>
    <xf borderId="4" fillId="2" fontId="10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ont="1">
      <alignment shrinkToFit="0" vertical="top" wrapText="1"/>
    </xf>
    <xf borderId="4" fillId="2" fontId="9" numFmtId="0" xfId="0" applyAlignment="1" applyBorder="1" applyFont="1">
      <alignment horizontal="left" shrinkToFit="0" vertical="bottom" wrapText="0"/>
    </xf>
    <xf borderId="4" fillId="2" fontId="9" numFmtId="1" xfId="0" applyAlignment="1" applyBorder="1" applyFont="1" applyNumberFormat="1">
      <alignment shrinkToFit="0" vertical="bottom" wrapText="0"/>
    </xf>
    <xf borderId="12" fillId="2" fontId="9" numFmtId="0" xfId="0" applyAlignment="1" applyBorder="1" applyFont="1">
      <alignment horizontal="left" shrinkToFit="0" vertical="bottom" wrapText="0"/>
    </xf>
    <xf borderId="8" fillId="2" fontId="6" numFmtId="0" xfId="0" applyAlignment="1" applyBorder="1" applyFont="1">
      <alignment horizontal="left" shrinkToFit="0" vertical="bottom" wrapText="0"/>
    </xf>
    <xf borderId="12" fillId="2" fontId="1" numFmtId="0" xfId="0" applyAlignment="1" applyBorder="1" applyFont="1">
      <alignment readingOrder="0" shrinkToFit="0" vertical="top" wrapText="0"/>
    </xf>
    <xf borderId="4" fillId="0" fontId="1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1" fillId="2" fontId="10" numFmtId="0" xfId="0" applyAlignment="1" applyBorder="1" applyFont="1">
      <alignment horizontal="left" shrinkToFit="0" vertical="top" wrapText="1"/>
    </xf>
    <xf borderId="4" fillId="2" fontId="10" numFmtId="0" xfId="0" applyAlignment="1" applyBorder="1" applyFont="1">
      <alignment horizontal="left" shrinkToFit="0" vertical="bottom" wrapText="0"/>
    </xf>
    <xf borderId="6" fillId="0" fontId="11" numFmtId="165" xfId="0" applyAlignment="1" applyBorder="1" applyFont="1" applyNumberFormat="1">
      <alignment readingOrder="0" shrinkToFit="0" vertical="bottom" wrapText="0"/>
    </xf>
    <xf borderId="12" fillId="2" fontId="1" numFmtId="0" xfId="0" applyAlignment="1" applyBorder="1" applyFont="1">
      <alignment shrinkToFit="0" vertical="top" wrapText="0"/>
    </xf>
    <xf borderId="8" fillId="2" fontId="6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horizontal="left" readingOrder="0" shrinkToFit="0" vertical="center" wrapText="0"/>
    </xf>
    <xf borderId="6" fillId="0" fontId="11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8" fillId="2" fontId="9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shrinkToFit="0" vertical="top" wrapText="1"/>
    </xf>
    <xf borderId="12" fillId="2" fontId="10" numFmtId="165" xfId="0" applyAlignment="1" applyBorder="1" applyFont="1" applyNumberFormat="1">
      <alignment readingOrder="0" shrinkToFit="0" vertical="top" wrapText="0"/>
    </xf>
    <xf borderId="1" fillId="2" fontId="1" numFmtId="0" xfId="0" applyAlignment="1" applyBorder="1" applyFont="1">
      <alignment shrinkToFit="0" vertical="bottom" wrapText="1"/>
    </xf>
    <xf borderId="0" fillId="0" fontId="6" numFmtId="0" xfId="0" applyAlignment="1" applyFont="1">
      <alignment horizontal="left" shrinkToFit="0" vertical="bottom" wrapText="0"/>
    </xf>
    <xf borderId="4" fillId="2" fontId="9" numFmtId="1" xfId="0" applyAlignment="1" applyBorder="1" applyFont="1" applyNumberFormat="1">
      <alignment shrinkToFit="0" vertical="center" wrapText="1"/>
    </xf>
    <xf borderId="13" fillId="2" fontId="6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left" readingOrder="0" shrinkToFit="0" vertical="top" wrapText="1"/>
    </xf>
    <xf borderId="14" fillId="0" fontId="3" numFmtId="0" xfId="0" applyBorder="1" applyFont="1"/>
    <xf borderId="4" fillId="2" fontId="10" numFmtId="0" xfId="0" applyAlignment="1" applyBorder="1" applyFont="1">
      <alignment readingOrder="0" shrinkToFit="0" vertical="top" wrapText="0"/>
    </xf>
    <xf borderId="15" fillId="3" fontId="13" numFmtId="164" xfId="0" applyAlignment="1" applyBorder="1" applyFill="1" applyFont="1" applyNumberFormat="1">
      <alignment horizontal="center" shrinkToFit="0" vertical="center" wrapText="0"/>
    </xf>
    <xf borderId="16" fillId="3" fontId="13" numFmtId="0" xfId="0" applyAlignment="1" applyBorder="1" applyFont="1">
      <alignment horizontal="center" shrinkToFit="0" vertical="center" wrapText="0"/>
    </xf>
    <xf borderId="4" fillId="2" fontId="14" numFmtId="0" xfId="0" applyAlignment="1" applyBorder="1" applyFont="1">
      <alignment readingOrder="0" shrinkToFit="0" vertical="top" wrapText="1"/>
    </xf>
    <xf borderId="17" fillId="3" fontId="1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" fillId="2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1" fillId="2" fontId="9" numFmtId="1" xfId="0" applyAlignment="1" applyBorder="1" applyFont="1" applyNumberFormat="1">
      <alignment shrinkToFit="0" vertical="bottom" wrapText="0"/>
    </xf>
    <xf borderId="18" fillId="0" fontId="11" numFmtId="165" xfId="0" applyAlignment="1" applyBorder="1" applyFont="1" applyNumberFormat="1">
      <alignment readingOrder="0" shrinkToFit="0" vertical="top" wrapText="1"/>
    </xf>
    <xf borderId="19" fillId="0" fontId="1" numFmtId="49" xfId="0" applyAlignment="1" applyBorder="1" applyFont="1" applyNumberFormat="1">
      <alignment readingOrder="0" shrinkToFit="0" vertical="top" wrapText="0"/>
    </xf>
    <xf borderId="19" fillId="0" fontId="1" numFmtId="0" xfId="0" applyAlignment="1" applyBorder="1" applyFont="1">
      <alignment readingOrder="0" shrinkToFit="0" vertical="top" wrapText="0"/>
    </xf>
    <xf borderId="20" fillId="0" fontId="1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18" fillId="0" fontId="1" numFmtId="164" xfId="0" applyAlignment="1" applyBorder="1" applyFont="1" applyNumberFormat="1">
      <alignment shrinkToFit="0" vertical="top" wrapText="0"/>
    </xf>
    <xf borderId="19" fillId="0" fontId="1" numFmtId="49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0" xfId="0" applyAlignment="1" applyBorder="1" applyFont="1">
      <alignment shrinkToFit="0" vertical="top" wrapText="0"/>
    </xf>
    <xf borderId="1" fillId="2" fontId="6" numFmtId="0" xfId="0" applyAlignment="1" applyBorder="1" applyFont="1">
      <alignment horizontal="center" shrinkToFit="0" vertical="bottom" wrapText="0"/>
    </xf>
    <xf borderId="15" fillId="4" fontId="13" numFmtId="1" xfId="0" applyAlignment="1" applyBorder="1" applyFill="1" applyFont="1" applyNumberFormat="1">
      <alignment horizontal="center" shrinkToFit="0" vertical="center" wrapText="0"/>
    </xf>
    <xf borderId="16" fillId="4" fontId="13" numFmtId="0" xfId="0" applyAlignment="1" applyBorder="1" applyFont="1">
      <alignment horizontal="center" shrinkToFit="0" vertical="center" wrapText="0"/>
    </xf>
    <xf borderId="21" fillId="4" fontId="13" numFmtId="0" xfId="0" applyAlignment="1" applyBorder="1" applyFont="1">
      <alignment horizontal="center" shrinkToFit="0" vertical="center" wrapText="1"/>
    </xf>
    <xf borderId="17" fillId="4" fontId="13" numFmtId="0" xfId="0" applyAlignment="1" applyBorder="1" applyFont="1">
      <alignment horizontal="center" shrinkToFit="0" vertical="center" wrapText="0"/>
    </xf>
    <xf borderId="13" fillId="2" fontId="15" numFmtId="0" xfId="0" applyAlignment="1" applyBorder="1" applyFont="1">
      <alignment horizontal="center" shrinkToFit="0" vertical="top" wrapText="1"/>
    </xf>
    <xf borderId="8" fillId="2" fontId="15" numFmtId="0" xfId="0" applyAlignment="1" applyBorder="1" applyFont="1">
      <alignment horizontal="center" shrinkToFit="0" vertical="top" wrapText="1"/>
    </xf>
    <xf borderId="22" fillId="2" fontId="15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23" fillId="2" fontId="1" numFmtId="0" xfId="0" applyAlignment="1" applyBorder="1" applyFont="1">
      <alignment shrinkToFit="0" vertical="bottom" wrapText="0"/>
    </xf>
    <xf borderId="18" fillId="2" fontId="1" numFmtId="1" xfId="0" applyAlignment="1" applyBorder="1" applyFont="1" applyNumberFormat="1">
      <alignment shrinkToFit="0" vertical="center" wrapText="0"/>
    </xf>
    <xf borderId="24" fillId="3" fontId="13" numFmtId="0" xfId="0" applyAlignment="1" applyBorder="1" applyFont="1">
      <alignment horizontal="center" shrinkToFit="0" vertical="bottom" wrapText="0"/>
    </xf>
    <xf borderId="19" fillId="2" fontId="1" numFmtId="49" xfId="0" applyAlignment="1" applyBorder="1" applyFont="1" applyNumberFormat="1">
      <alignment horizontal="left" readingOrder="0" shrinkToFit="0" vertical="center" wrapText="0"/>
    </xf>
    <xf borderId="16" fillId="3" fontId="13" numFmtId="0" xfId="0" applyAlignment="1" applyBorder="1" applyFont="1">
      <alignment horizontal="center" shrinkToFit="0" vertical="bottom" wrapText="0"/>
    </xf>
    <xf borderId="16" fillId="3" fontId="13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shrinkToFit="0" vertical="top" wrapText="1"/>
    </xf>
    <xf borderId="21" fillId="3" fontId="13" numFmtId="0" xfId="0" applyAlignment="1" applyBorder="1" applyFont="1">
      <alignment horizontal="center" shrinkToFit="0" vertical="bottom" wrapText="0"/>
    </xf>
    <xf borderId="25" fillId="3" fontId="13" numFmtId="0" xfId="0" applyAlignment="1" applyBorder="1" applyFont="1">
      <alignment horizontal="center" shrinkToFit="0" vertical="bottom" wrapText="1"/>
    </xf>
    <xf borderId="19" fillId="2" fontId="16" numFmtId="0" xfId="0" applyAlignment="1" applyBorder="1" applyFont="1">
      <alignment horizontal="left" shrinkToFit="0" vertical="center" wrapText="0"/>
    </xf>
    <xf borderId="26" fillId="0" fontId="1" numFmtId="164" xfId="0" applyAlignment="1" applyBorder="1" applyFont="1" applyNumberFormat="1">
      <alignment shrinkToFit="0" vertical="top" wrapText="0"/>
    </xf>
    <xf borderId="19" fillId="2" fontId="17" numFmtId="0" xfId="0" applyAlignment="1" applyBorder="1" applyFont="1">
      <alignment horizontal="left" readingOrder="0" shrinkToFit="0" vertical="center" wrapText="1"/>
    </xf>
    <xf borderId="27" fillId="0" fontId="1" numFmtId="49" xfId="0" applyAlignment="1" applyBorder="1" applyFont="1" applyNumberFormat="1">
      <alignment shrinkToFit="0" vertical="top" wrapText="0"/>
    </xf>
    <xf borderId="20" fillId="2" fontId="1" numFmtId="0" xfId="0" applyAlignment="1" applyBorder="1" applyFont="1">
      <alignment horizontal="left" readingOrder="0" shrinkToFit="0" vertical="center" wrapText="1"/>
    </xf>
    <xf borderId="27" fillId="0" fontId="1" numFmtId="0" xfId="0" applyAlignment="1" applyBorder="1" applyFont="1">
      <alignment shrinkToFit="0" vertical="top" wrapText="0"/>
    </xf>
    <xf borderId="28" fillId="0" fontId="1" numFmtId="0" xfId="0" applyAlignment="1" applyBorder="1" applyFont="1">
      <alignment shrinkToFit="0" vertical="top" wrapText="0"/>
    </xf>
    <xf borderId="29" fillId="2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shrinkToFit="0" vertical="bottom" wrapText="0"/>
    </xf>
    <xf borderId="22" fillId="2" fontId="1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horizontal="center" shrinkToFit="0" vertical="bottom" wrapText="0"/>
    </xf>
    <xf borderId="1" fillId="2" fontId="12" numFmtId="0" xfId="0" applyAlignment="1" applyBorder="1" applyFont="1">
      <alignment horizontal="center" shrinkToFit="0" vertical="top" wrapText="1"/>
    </xf>
    <xf borderId="19" fillId="2" fontId="12" numFmtId="0" xfId="0" applyAlignment="1" applyBorder="1" applyFont="1">
      <alignment horizontal="left" readingOrder="0" shrinkToFit="0" vertical="center" wrapText="1"/>
    </xf>
    <xf borderId="30" fillId="2" fontId="1" numFmtId="0" xfId="0" applyAlignment="1" applyBorder="1" applyFont="1">
      <alignment horizontal="center" shrinkToFit="0" vertical="bottom" wrapText="0"/>
    </xf>
    <xf borderId="19" fillId="2" fontId="18" numFmtId="0" xfId="0" applyAlignment="1" applyBorder="1" applyFont="1">
      <alignment horizontal="left" readingOrder="0" shrinkToFit="0" vertical="center" wrapText="1"/>
    </xf>
    <xf borderId="31" fillId="2" fontId="15" numFmtId="0" xfId="0" applyAlignment="1" applyBorder="1" applyFont="1">
      <alignment horizontal="center" shrinkToFit="0" vertical="top" wrapText="1"/>
    </xf>
    <xf borderId="19" fillId="2" fontId="1" numFmtId="49" xfId="0" applyAlignment="1" applyBorder="1" applyFont="1" applyNumberFormat="1">
      <alignment horizontal="left" shrinkToFit="0" vertical="center" wrapText="0"/>
    </xf>
    <xf borderId="20" fillId="2" fontId="1" numFmtId="0" xfId="0" applyAlignment="1" applyBorder="1" applyFont="1">
      <alignment horizontal="center" shrinkToFit="0" vertical="bottom" wrapText="0"/>
    </xf>
    <xf borderId="19" fillId="2" fontId="19" numFmtId="0" xfId="0" applyAlignment="1" applyBorder="1" applyFont="1">
      <alignment horizontal="left" shrinkToFit="0" vertical="center" wrapText="1"/>
    </xf>
    <xf borderId="32" fillId="2" fontId="1" numFmtId="0" xfId="0" applyAlignment="1" applyBorder="1" applyFont="1">
      <alignment shrinkToFit="0" vertical="bottom" wrapText="0"/>
    </xf>
    <xf borderId="20" fillId="2" fontId="1" numFmtId="0" xfId="0" applyAlignment="1" applyBorder="1" applyFont="1">
      <alignment horizontal="left" shrinkToFit="0" vertical="center" wrapText="0"/>
    </xf>
    <xf borderId="33" fillId="2" fontId="1" numFmtId="0" xfId="0" applyAlignment="1" applyBorder="1" applyFont="1">
      <alignment horizontal="center" shrinkToFit="0" vertical="top" wrapText="1"/>
    </xf>
    <xf borderId="29" fillId="2" fontId="1" numFmtId="0" xfId="0" applyAlignment="1" applyBorder="1" applyFont="1">
      <alignment horizontal="center" readingOrder="0" shrinkToFit="0" vertical="bottom" wrapText="0"/>
    </xf>
    <xf borderId="34" fillId="2" fontId="1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readingOrder="0" shrinkToFit="0" vertical="bottom" wrapText="0"/>
    </xf>
    <xf borderId="19" fillId="2" fontId="1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1"/>
    </xf>
    <xf borderId="35" fillId="3" fontId="20" numFmtId="0" xfId="0" applyAlignment="1" applyBorder="1" applyFont="1">
      <alignment horizontal="center" shrinkToFit="0" vertical="bottom" wrapText="0"/>
    </xf>
    <xf borderId="27" fillId="3" fontId="13" numFmtId="0" xfId="0" applyAlignment="1" applyBorder="1" applyFont="1">
      <alignment shrinkToFit="0" vertical="bottom" wrapText="0"/>
    </xf>
    <xf borderId="27" fillId="3" fontId="20" numFmtId="0" xfId="0" applyAlignment="1" applyBorder="1" applyFont="1">
      <alignment horizontal="center" shrinkToFit="0" vertical="bottom" wrapText="0"/>
    </xf>
    <xf borderId="8" fillId="5" fontId="13" numFmtId="0" xfId="0" applyAlignment="1" applyBorder="1" applyFill="1" applyFont="1">
      <alignment horizontal="center" shrinkToFit="0" vertical="top" wrapText="1"/>
    </xf>
    <xf borderId="36" fillId="3" fontId="20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4" fillId="6" fontId="4" numFmtId="0" xfId="0" applyAlignment="1" applyBorder="1" applyFill="1" applyFont="1">
      <alignment horizontal="left" readingOrder="0" shrinkToFit="0" vertical="top" wrapText="1"/>
    </xf>
    <xf borderId="8" fillId="6" fontId="4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top" wrapText="1"/>
    </xf>
    <xf borderId="37" fillId="7" fontId="21" numFmtId="0" xfId="0" applyAlignment="1" applyBorder="1" applyFill="1" applyFont="1">
      <alignment horizontal="center" readingOrder="0" shrinkToFit="0" vertical="top" wrapText="1"/>
    </xf>
    <xf borderId="37" fillId="7" fontId="22" numFmtId="0" xfId="0" applyAlignment="1" applyBorder="1" applyFont="1">
      <alignment horizontal="left" readingOrder="0" shrinkToFit="0" vertical="top" wrapText="1"/>
    </xf>
    <xf borderId="8" fillId="2" fontId="12" numFmtId="0" xfId="0" applyAlignment="1" applyBorder="1" applyFont="1">
      <alignment horizontal="left" readingOrder="0" shrinkToFit="0" vertical="top" wrapText="1"/>
    </xf>
    <xf borderId="8" fillId="2" fontId="12" numFmtId="165" xfId="0" applyAlignment="1" applyBorder="1" applyFont="1" applyNumberFormat="1">
      <alignment horizontal="left" readingOrder="0" shrinkToFit="0" vertical="top" wrapText="1"/>
    </xf>
    <xf borderId="1" fillId="2" fontId="23" numFmtId="2" xfId="0" applyAlignment="1" applyBorder="1" applyFont="1" applyNumberFormat="1">
      <alignment horizontal="right" shrinkToFit="0" vertical="bottom" wrapText="1"/>
    </xf>
    <xf borderId="1" fillId="2" fontId="12" numFmtId="0" xfId="0" applyAlignment="1" applyBorder="1" applyFont="1">
      <alignment horizontal="center" shrinkToFit="0" vertical="bottom" wrapText="1"/>
    </xf>
    <xf borderId="8" fillId="2" fontId="12" numFmtId="0" xfId="0" applyAlignment="1" applyBorder="1" applyFont="1">
      <alignment horizontal="left" shrinkToFit="0" vertical="top" wrapText="1"/>
    </xf>
    <xf borderId="37" fillId="2" fontId="21" numFmtId="0" xfId="0" applyAlignment="1" applyBorder="1" applyFont="1">
      <alignment horizontal="center" readingOrder="0" shrinkToFit="0" vertical="top" wrapText="1"/>
    </xf>
    <xf borderId="37" fillId="2" fontId="22" numFmtId="0" xfId="0" applyAlignment="1" applyBorder="1" applyFont="1">
      <alignment horizontal="left" readingOrder="0" shrinkToFit="0" vertical="top" wrapText="1"/>
    </xf>
    <xf borderId="26" fillId="2" fontId="1" numFmtId="1" xfId="0" applyAlignment="1" applyBorder="1" applyFont="1" applyNumberFormat="1">
      <alignment shrinkToFit="0" vertical="center" wrapText="0"/>
    </xf>
    <xf borderId="27" fillId="2" fontId="1" numFmtId="49" xfId="0" applyAlignment="1" applyBorder="1" applyFont="1" applyNumberFormat="1">
      <alignment horizontal="left" shrinkToFit="0" vertical="center" wrapText="0"/>
    </xf>
    <xf borderId="27" fillId="2" fontId="1" numFmtId="0" xfId="0" applyAlignment="1" applyBorder="1" applyFont="1">
      <alignment horizontal="left" shrinkToFit="0" vertical="center" wrapText="0"/>
    </xf>
    <xf borderId="27" fillId="2" fontId="1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bottom" wrapText="1"/>
    </xf>
    <xf borderId="8" fillId="6" fontId="12" numFmtId="0" xfId="0" applyAlignment="1" applyBorder="1" applyFont="1">
      <alignment horizontal="left" readingOrder="0" shrinkToFit="0" vertical="top" wrapText="1"/>
    </xf>
    <xf borderId="38" fillId="7" fontId="21" numFmtId="0" xfId="0" applyAlignment="1" applyBorder="1" applyFont="1">
      <alignment horizontal="center" readingOrder="0" shrinkToFit="0" vertical="top" wrapText="1"/>
    </xf>
    <xf borderId="38" fillId="7" fontId="22" numFmtId="0" xfId="0" applyAlignment="1" applyBorder="1" applyFont="1">
      <alignment horizontal="left" readingOrder="0" shrinkToFit="0" vertical="top" wrapText="1"/>
    </xf>
    <xf borderId="8" fillId="2" fontId="21" numFmtId="0" xfId="0" applyAlignment="1" applyBorder="1" applyFont="1">
      <alignment horizontal="center" readingOrder="0" shrinkToFit="0" vertical="top" wrapText="1"/>
    </xf>
    <xf borderId="8" fillId="2" fontId="22" numFmtId="0" xfId="0" applyAlignment="1" applyBorder="1" applyFont="1">
      <alignment horizontal="left" readingOrder="0" shrinkToFit="0" vertical="top" wrapText="1"/>
    </xf>
    <xf borderId="32" fillId="2" fontId="1" numFmtId="0" xfId="0" applyAlignment="1" applyBorder="1" applyFont="1">
      <alignment shrinkToFit="0" vertical="top" wrapText="1"/>
    </xf>
    <xf borderId="4" fillId="6" fontId="21" numFmtId="0" xfId="0" applyAlignment="1" applyBorder="1" applyFont="1">
      <alignment horizontal="left" readingOrder="0" shrinkToFit="0" vertical="top" wrapText="1"/>
    </xf>
    <xf borderId="8" fillId="6" fontId="22" numFmtId="0" xfId="0" applyAlignment="1" applyBorder="1" applyFont="1">
      <alignment horizontal="left" readingOrder="0" shrinkToFit="0" vertical="top" wrapText="1"/>
    </xf>
    <xf borderId="8" fillId="6" fontId="12" numFmtId="0" xfId="0" applyAlignment="1" applyBorder="1" applyFont="1">
      <alignment horizontal="left" shrinkToFit="0" vertical="top" wrapText="1"/>
    </xf>
    <xf borderId="32" fillId="6" fontId="12" numFmtId="0" xfId="0" applyAlignment="1" applyBorder="1" applyFont="1">
      <alignment shrinkToFit="0" vertical="top" wrapText="1"/>
    </xf>
    <xf borderId="1" fillId="6" fontId="12" numFmtId="0" xfId="0" applyAlignment="1" applyBorder="1" applyFont="1">
      <alignment shrinkToFit="0" vertical="top" wrapText="1"/>
    </xf>
    <xf borderId="8" fillId="2" fontId="1" numFmtId="0" xfId="0" applyAlignment="1" applyBorder="1" applyFont="1">
      <alignment readingOrder="0" shrinkToFit="0" vertical="top" wrapText="1"/>
    </xf>
    <xf borderId="8" fillId="2" fontId="1" numFmtId="0" xfId="0" applyAlignment="1" applyBorder="1" applyFont="1">
      <alignment shrinkToFit="0" vertical="top" wrapText="1"/>
    </xf>
    <xf borderId="39" fillId="2" fontId="1" numFmtId="0" xfId="0" applyAlignment="1" applyBorder="1" applyFont="1">
      <alignment shrinkToFit="0" vertical="top" wrapText="1"/>
    </xf>
    <xf borderId="0" fillId="0" fontId="24" numFmtId="0" xfId="0" applyAlignment="1" applyFont="1">
      <alignment readingOrder="0" shrinkToFit="0" vertical="bottom" wrapText="1"/>
    </xf>
    <xf borderId="0" fillId="0" fontId="24" numFmtId="0" xfId="0" applyAlignment="1" applyFont="1">
      <alignment shrinkToFit="0" vertical="bottom" wrapText="1"/>
    </xf>
    <xf borderId="0" fillId="0" fontId="25" numFmtId="0" xfId="0" applyAlignment="1" applyFont="1">
      <alignment shrinkToFit="0" wrapText="1"/>
    </xf>
    <xf borderId="8" fillId="6" fontId="12" numFmtId="165" xfId="0" applyAlignment="1" applyBorder="1" applyFont="1" applyNumberFormat="1">
      <alignment horizontal="left" readingOrder="0" shrinkToFit="0" vertical="top" wrapText="1"/>
    </xf>
    <xf borderId="0" fillId="2" fontId="12" numFmtId="0" xfId="0" applyAlignment="1" applyFont="1">
      <alignment horizontal="left" shrinkToFit="0" vertical="top" wrapText="1"/>
    </xf>
    <xf borderId="0" fillId="6" fontId="21" numFmtId="0" xfId="0" applyAlignment="1" applyFont="1">
      <alignment horizontal="left" readingOrder="0" shrinkToFit="0" vertical="top" wrapText="1"/>
    </xf>
    <xf borderId="0" fillId="6" fontId="22" numFmtId="0" xfId="0" applyAlignment="1" applyFont="1">
      <alignment horizontal="left" readingOrder="0" shrinkToFit="0" vertical="top" wrapText="1"/>
    </xf>
    <xf borderId="0" fillId="6" fontId="12" numFmtId="0" xfId="0" applyAlignment="1" applyFont="1">
      <alignment horizontal="left" shrinkToFit="0" vertical="top" wrapText="1"/>
    </xf>
    <xf borderId="1" fillId="6" fontId="1" numFmtId="0" xfId="0" applyAlignment="1" applyBorder="1" applyFont="1">
      <alignment shrinkToFit="0" vertical="top" wrapText="1"/>
    </xf>
    <xf borderId="1" fillId="6" fontId="7" numFmtId="0" xfId="0" applyAlignment="1" applyBorder="1" applyFont="1">
      <alignment shrinkToFit="0" vertical="top" wrapText="1"/>
    </xf>
    <xf borderId="0" fillId="7" fontId="22" numFmtId="0" xfId="0" applyAlignment="1" applyFont="1">
      <alignment horizontal="left" readingOrder="0" shrinkToFit="0" vertical="top" wrapText="1"/>
    </xf>
    <xf borderId="0" fillId="0" fontId="2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76200</xdr:rowOff>
    </xdr:from>
    <xdr:ext cx="200025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rims/cashier/payments/vnpay-callbac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6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5.75" customHeight="1">
      <c r="A2" s="11"/>
      <c r="B2" s="13" t="s">
        <v>2</v>
      </c>
      <c r="C2" s="14"/>
      <c r="D2" s="14"/>
      <c r="E2" s="14"/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21"/>
      <c r="B3" s="22"/>
      <c r="C3" s="5"/>
      <c r="D3" s="5"/>
      <c r="E3" s="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3" t="s">
        <v>4</v>
      </c>
      <c r="B4" s="35" t="s">
        <v>6</v>
      </c>
      <c r="C4" s="14"/>
      <c r="D4" s="15"/>
      <c r="E4" s="33" t="s">
        <v>7</v>
      </c>
      <c r="F4" s="36" t="s">
        <v>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3" t="s">
        <v>9</v>
      </c>
      <c r="B5" s="35" t="s">
        <v>10</v>
      </c>
      <c r="C5" s="14"/>
      <c r="D5" s="15"/>
      <c r="E5" s="33" t="s">
        <v>11</v>
      </c>
      <c r="F5" s="39">
        <v>46228.0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1" t="s">
        <v>13</v>
      </c>
      <c r="B6" s="42" t="s">
        <v>14</v>
      </c>
      <c r="C6" s="14"/>
      <c r="D6" s="15"/>
      <c r="E6" s="33" t="s">
        <v>15</v>
      </c>
      <c r="F6" s="43" t="s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44"/>
      <c r="B7" s="22"/>
      <c r="C7" s="5"/>
      <c r="D7" s="5"/>
      <c r="E7" s="4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0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6" t="s">
        <v>25</v>
      </c>
      <c r="B10" s="57" t="s">
        <v>15</v>
      </c>
      <c r="C10" s="57" t="s">
        <v>26</v>
      </c>
      <c r="D10" s="57" t="s">
        <v>27</v>
      </c>
      <c r="E10" s="57" t="s">
        <v>28</v>
      </c>
      <c r="F10" s="59" t="s">
        <v>29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26.25" customHeight="1">
      <c r="A11" s="64">
        <v>46228.0</v>
      </c>
      <c r="B11" s="65" t="s">
        <v>32</v>
      </c>
      <c r="C11" s="66" t="s">
        <v>33</v>
      </c>
      <c r="D11" s="66" t="s">
        <v>34</v>
      </c>
      <c r="E11" s="66" t="s">
        <v>35</v>
      </c>
      <c r="F11" s="67" t="s">
        <v>36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21.75" customHeight="1">
      <c r="A12" s="74"/>
      <c r="B12" s="75"/>
      <c r="C12" s="76"/>
      <c r="D12" s="76"/>
      <c r="E12" s="76"/>
      <c r="F12" s="7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9.5" customHeight="1">
      <c r="A13" s="74"/>
      <c r="B13" s="75"/>
      <c r="C13" s="76"/>
      <c r="D13" s="76"/>
      <c r="E13" s="76"/>
      <c r="F13" s="77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21.75" customHeight="1">
      <c r="A14" s="74"/>
      <c r="B14" s="75"/>
      <c r="C14" s="76"/>
      <c r="D14" s="76"/>
      <c r="E14" s="76"/>
      <c r="F14" s="77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9.5" customHeight="1">
      <c r="A15" s="74"/>
      <c r="B15" s="75"/>
      <c r="C15" s="76"/>
      <c r="D15" s="76"/>
      <c r="E15" s="76"/>
      <c r="F15" s="77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21.75" customHeight="1">
      <c r="A16" s="74"/>
      <c r="B16" s="75"/>
      <c r="C16" s="76"/>
      <c r="D16" s="76"/>
      <c r="E16" s="76"/>
      <c r="F16" s="77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9.5" customHeight="1">
      <c r="A17" s="98"/>
      <c r="B17" s="100"/>
      <c r="C17" s="102"/>
      <c r="D17" s="102"/>
      <c r="E17" s="102"/>
      <c r="F17" s="103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2.75" customHeight="1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351388888888889" footer="0.0" header="0.0" left="0.470138888888889" right="0.47013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88"/>
    <col customWidth="1" min="2" max="2" width="3.75"/>
    <col customWidth="1" min="3" max="3" width="26.38"/>
    <col customWidth="1" min="4" max="4" width="30.63"/>
    <col customWidth="1" min="5" max="5" width="97.5"/>
    <col customWidth="1" min="6" max="6" width="48.75"/>
    <col customWidth="1" min="7" max="26" width="9.0"/>
  </cols>
  <sheetData>
    <row r="1">
      <c r="A1" s="1"/>
      <c r="B1" s="4"/>
      <c r="C1" s="7"/>
      <c r="D1" s="9" t="s">
        <v>1</v>
      </c>
      <c r="E1" s="10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7"/>
      <c r="D2" s="19"/>
      <c r="E2" s="20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1" t="s">
        <v>4</v>
      </c>
      <c r="C3" s="14"/>
      <c r="D3" s="38" t="str">
        <f>Cover!B4</f>
        <v>Restaurant Internal Management System</v>
      </c>
      <c r="E3" s="14"/>
      <c r="F3" s="1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1" t="s">
        <v>9</v>
      </c>
      <c r="C4" s="14"/>
      <c r="D4" s="38" t="str">
        <f>Cover!B5</f>
        <v>RIMS</v>
      </c>
      <c r="E4" s="14"/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9"/>
      <c r="B5" s="51" t="s">
        <v>18</v>
      </c>
      <c r="C5" s="15"/>
      <c r="D5" s="58" t="s">
        <v>21</v>
      </c>
      <c r="E5" s="14"/>
      <c r="F5" s="15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1"/>
      <c r="B6" s="63"/>
      <c r="C6" s="1"/>
      <c r="D6" s="1"/>
      <c r="E6" s="4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9"/>
      <c r="B7" s="70"/>
      <c r="C7" s="72"/>
      <c r="D7" s="72"/>
      <c r="E7" s="73"/>
      <c r="F7" s="72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78"/>
      <c r="B8" s="79" t="s">
        <v>37</v>
      </c>
      <c r="C8" s="80" t="s">
        <v>38</v>
      </c>
      <c r="D8" s="80" t="s">
        <v>40</v>
      </c>
      <c r="E8" s="81" t="s">
        <v>41</v>
      </c>
      <c r="F8" s="82" t="s">
        <v>42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1"/>
      <c r="B9" s="89">
        <v>1.0</v>
      </c>
      <c r="C9" s="91" t="s">
        <v>45</v>
      </c>
      <c r="D9" s="97" t="s">
        <v>47</v>
      </c>
      <c r="E9" s="99" t="s">
        <v>49</v>
      </c>
      <c r="F9" s="101" t="s">
        <v>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9">
        <v>2.0</v>
      </c>
      <c r="C10" s="91" t="s">
        <v>52</v>
      </c>
      <c r="D10" s="97" t="s">
        <v>53</v>
      </c>
      <c r="E10" s="110" t="s">
        <v>54</v>
      </c>
      <c r="F10" s="101" t="s">
        <v>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9">
        <v>3.0</v>
      </c>
      <c r="C11" s="91" t="s">
        <v>57</v>
      </c>
      <c r="D11" s="97" t="s">
        <v>58</v>
      </c>
      <c r="E11" s="112" t="s">
        <v>59</v>
      </c>
      <c r="F11" s="101" t="s">
        <v>60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9"/>
      <c r="C12" s="114"/>
      <c r="D12" s="97"/>
      <c r="E12" s="116"/>
      <c r="F12" s="1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9"/>
      <c r="C13" s="114"/>
      <c r="D13" s="97"/>
      <c r="E13" s="116"/>
      <c r="F13" s="1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9"/>
      <c r="C14" s="114"/>
      <c r="D14" s="123"/>
      <c r="E14" s="124"/>
      <c r="F14" s="1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9"/>
      <c r="C15" s="114"/>
      <c r="D15" s="123"/>
      <c r="E15" s="124"/>
      <c r="F15" s="1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9"/>
      <c r="C16" s="114"/>
      <c r="D16" s="123"/>
      <c r="E16" s="124"/>
      <c r="F16" s="11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9"/>
      <c r="C17" s="114"/>
      <c r="D17" s="123"/>
      <c r="E17" s="124"/>
      <c r="F17" s="11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9"/>
      <c r="C18" s="114"/>
      <c r="D18" s="123"/>
      <c r="E18" s="124"/>
      <c r="F18" s="1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9"/>
      <c r="C19" s="114"/>
      <c r="D19" s="123"/>
      <c r="E19" s="124"/>
      <c r="F19" s="1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9"/>
      <c r="C20" s="114"/>
      <c r="D20" s="123"/>
      <c r="E20" s="124"/>
      <c r="F20" s="1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46"/>
      <c r="C21" s="147"/>
      <c r="D21" s="148"/>
      <c r="E21" s="149"/>
      <c r="F21" s="15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"/>
      <c r="C22" s="7"/>
      <c r="D22" s="7"/>
      <c r="E22" s="151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"/>
      <c r="C23" s="7"/>
      <c r="D23" s="7"/>
      <c r="E23" s="151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/>
      <c r="C24" s="7"/>
      <c r="D24" s="7"/>
      <c r="E24" s="151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/>
      <c r="C25" s="7"/>
      <c r="D25" s="7"/>
      <c r="E25" s="151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/>
      <c r="C26" s="7"/>
      <c r="D26" s="7"/>
      <c r="E26" s="151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/>
      <c r="C27" s="7"/>
      <c r="D27" s="7"/>
      <c r="E27" s="151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/>
      <c r="C28" s="7"/>
      <c r="D28" s="7"/>
      <c r="E28" s="151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/>
      <c r="C29" s="7"/>
      <c r="D29" s="7"/>
      <c r="E29" s="151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/>
      <c r="C30" s="7"/>
      <c r="D30" s="7"/>
      <c r="E30" s="151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/>
      <c r="C31" s="7"/>
      <c r="D31" s="7"/>
      <c r="E31" s="151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/>
      <c r="C32" s="7"/>
      <c r="D32" s="7"/>
      <c r="E32" s="151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/>
      <c r="C33" s="7"/>
      <c r="D33" s="7"/>
      <c r="E33" s="151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/>
      <c r="C34" s="7"/>
      <c r="D34" s="7"/>
      <c r="E34" s="151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/>
      <c r="C35" s="7"/>
      <c r="D35" s="7"/>
      <c r="E35" s="151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/>
      <c r="C36" s="7"/>
      <c r="D36" s="7"/>
      <c r="E36" s="151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/>
      <c r="C37" s="7"/>
      <c r="D37" s="7"/>
      <c r="E37" s="151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/>
      <c r="C38" s="7"/>
      <c r="D38" s="7"/>
      <c r="E38" s="151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/>
      <c r="C39" s="7"/>
      <c r="D39" s="7"/>
      <c r="E39" s="151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"/>
      <c r="C40" s="7"/>
      <c r="D40" s="7"/>
      <c r="E40" s="151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"/>
      <c r="C41" s="7"/>
      <c r="D41" s="7"/>
      <c r="E41" s="151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7"/>
      <c r="D42" s="7"/>
      <c r="E42" s="151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"/>
      <c r="C43" s="7"/>
      <c r="D43" s="7"/>
      <c r="E43" s="151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/>
      <c r="C44" s="7"/>
      <c r="D44" s="7"/>
      <c r="E44" s="151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/>
      <c r="C45" s="7"/>
      <c r="D45" s="7"/>
      <c r="E45" s="151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/>
      <c r="C46" s="7"/>
      <c r="D46" s="7"/>
      <c r="E46" s="151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/>
      <c r="C47" s="7"/>
      <c r="D47" s="7"/>
      <c r="E47" s="151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/>
      <c r="C48" s="7"/>
      <c r="D48" s="7"/>
      <c r="E48" s="151"/>
      <c r="F48" s="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/>
      <c r="C49" s="7"/>
      <c r="D49" s="7"/>
      <c r="E49" s="151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/>
      <c r="C50" s="7"/>
      <c r="D50" s="7"/>
      <c r="E50" s="151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/>
      <c r="C51" s="7"/>
      <c r="D51" s="7"/>
      <c r="E51" s="151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"/>
      <c r="C52" s="7"/>
      <c r="D52" s="7"/>
      <c r="E52" s="151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"/>
      <c r="C53" s="7"/>
      <c r="D53" s="7"/>
      <c r="E53" s="151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/>
      <c r="C54" s="7"/>
      <c r="D54" s="7"/>
      <c r="E54" s="151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/>
      <c r="C55" s="7"/>
      <c r="D55" s="7"/>
      <c r="E55" s="151"/>
      <c r="F55" s="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/>
      <c r="C56" s="7"/>
      <c r="D56" s="7"/>
      <c r="E56" s="151"/>
      <c r="F56" s="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/>
      <c r="C57" s="7"/>
      <c r="D57" s="7"/>
      <c r="E57" s="151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4"/>
      <c r="C58" s="7"/>
      <c r="D58" s="7"/>
      <c r="E58" s="151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4"/>
      <c r="C59" s="7"/>
      <c r="D59" s="7"/>
      <c r="E59" s="151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4"/>
      <c r="C60" s="7"/>
      <c r="D60" s="7"/>
      <c r="E60" s="151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4"/>
      <c r="C61" s="7"/>
      <c r="D61" s="7"/>
      <c r="E61" s="151"/>
      <c r="F61" s="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4"/>
      <c r="C62" s="7"/>
      <c r="D62" s="7"/>
      <c r="E62" s="151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4"/>
      <c r="C63" s="7"/>
      <c r="D63" s="7"/>
      <c r="E63" s="151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4"/>
      <c r="C64" s="7"/>
      <c r="D64" s="7"/>
      <c r="E64" s="151"/>
      <c r="F64" s="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4"/>
      <c r="C65" s="7"/>
      <c r="D65" s="7"/>
      <c r="E65" s="151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4"/>
      <c r="C66" s="7"/>
      <c r="D66" s="7"/>
      <c r="E66" s="151"/>
      <c r="F66" s="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4"/>
      <c r="C67" s="7"/>
      <c r="D67" s="7"/>
      <c r="E67" s="151"/>
      <c r="F67" s="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"/>
      <c r="C68" s="7"/>
      <c r="D68" s="7"/>
      <c r="E68" s="151"/>
      <c r="F68" s="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"/>
      <c r="C69" s="7"/>
      <c r="D69" s="7"/>
      <c r="E69" s="151"/>
      <c r="F69" s="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"/>
      <c r="C70" s="7"/>
      <c r="D70" s="7"/>
      <c r="E70" s="151"/>
      <c r="F70" s="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"/>
      <c r="C71" s="7"/>
      <c r="D71" s="7"/>
      <c r="E71" s="151"/>
      <c r="F71" s="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"/>
      <c r="C72" s="7"/>
      <c r="D72" s="7"/>
      <c r="E72" s="151"/>
      <c r="F72" s="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"/>
      <c r="C73" s="7"/>
      <c r="D73" s="7"/>
      <c r="E73" s="151"/>
      <c r="F73" s="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"/>
      <c r="C74" s="7"/>
      <c r="D74" s="7"/>
      <c r="E74" s="151"/>
      <c r="F74" s="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"/>
      <c r="C75" s="7"/>
      <c r="D75" s="7"/>
      <c r="E75" s="151"/>
      <c r="F75" s="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"/>
      <c r="C76" s="7"/>
      <c r="D76" s="7"/>
      <c r="E76" s="151"/>
      <c r="F76" s="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"/>
      <c r="C77" s="7"/>
      <c r="D77" s="7"/>
      <c r="E77" s="151"/>
      <c r="F77" s="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"/>
      <c r="C78" s="7"/>
      <c r="D78" s="7"/>
      <c r="E78" s="151"/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"/>
      <c r="C79" s="7"/>
      <c r="D79" s="7"/>
      <c r="E79" s="151"/>
      <c r="F79" s="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"/>
      <c r="C80" s="7"/>
      <c r="D80" s="7"/>
      <c r="E80" s="151"/>
      <c r="F80" s="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"/>
      <c r="C81" s="7"/>
      <c r="D81" s="7"/>
      <c r="E81" s="151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"/>
      <c r="C82" s="7"/>
      <c r="D82" s="7"/>
      <c r="E82" s="151"/>
      <c r="F82" s="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"/>
      <c r="C83" s="7"/>
      <c r="D83" s="7"/>
      <c r="E83" s="151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"/>
      <c r="C84" s="7"/>
      <c r="D84" s="7"/>
      <c r="E84" s="151"/>
      <c r="F84" s="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"/>
      <c r="C85" s="7"/>
      <c r="D85" s="7"/>
      <c r="E85" s="151"/>
      <c r="F85" s="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"/>
      <c r="C86" s="7"/>
      <c r="D86" s="7"/>
      <c r="E86" s="151"/>
      <c r="F86" s="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"/>
      <c r="C87" s="7"/>
      <c r="D87" s="7"/>
      <c r="E87" s="151"/>
      <c r="F87" s="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4"/>
      <c r="C88" s="7"/>
      <c r="D88" s="7"/>
      <c r="E88" s="151"/>
      <c r="F88" s="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"/>
      <c r="C89" s="7"/>
      <c r="D89" s="7"/>
      <c r="E89" s="151"/>
      <c r="F89" s="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"/>
      <c r="C90" s="7"/>
      <c r="D90" s="7"/>
      <c r="E90" s="151"/>
      <c r="F90" s="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"/>
      <c r="C91" s="7"/>
      <c r="D91" s="7"/>
      <c r="E91" s="151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"/>
      <c r="C92" s="7"/>
      <c r="D92" s="7"/>
      <c r="E92" s="151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"/>
      <c r="C93" s="7"/>
      <c r="D93" s="7"/>
      <c r="E93" s="151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4"/>
      <c r="C94" s="7"/>
      <c r="D94" s="7"/>
      <c r="E94" s="151"/>
      <c r="F94" s="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4"/>
      <c r="C95" s="7"/>
      <c r="D95" s="7"/>
      <c r="E95" s="15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4"/>
      <c r="C96" s="7"/>
      <c r="D96" s="7"/>
      <c r="E96" s="151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"/>
      <c r="C97" s="7"/>
      <c r="D97" s="7"/>
      <c r="E97" s="151"/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"/>
      <c r="C98" s="7"/>
      <c r="D98" s="7"/>
      <c r="E98" s="151"/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"/>
      <c r="C99" s="7"/>
      <c r="D99" s="7"/>
      <c r="E99" s="151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"/>
      <c r="C100" s="7"/>
      <c r="D100" s="7"/>
      <c r="E100" s="151"/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"/>
      <c r="C101" s="7"/>
      <c r="D101" s="7"/>
      <c r="E101" s="15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"/>
      <c r="C102" s="7"/>
      <c r="D102" s="7"/>
      <c r="E102" s="151"/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4"/>
      <c r="C103" s="7"/>
      <c r="D103" s="7"/>
      <c r="E103" s="151"/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"/>
      <c r="C104" s="7"/>
      <c r="D104" s="7"/>
      <c r="E104" s="151"/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4"/>
      <c r="C105" s="7"/>
      <c r="D105" s="7"/>
      <c r="E105" s="151"/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4"/>
      <c r="C106" s="7"/>
      <c r="D106" s="7"/>
      <c r="E106" s="151"/>
      <c r="F106" s="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4"/>
      <c r="C107" s="7"/>
      <c r="D107" s="7"/>
      <c r="E107" s="151"/>
      <c r="F107" s="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"/>
      <c r="C108" s="7"/>
      <c r="D108" s="7"/>
      <c r="E108" s="151"/>
      <c r="F108" s="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4"/>
      <c r="C109" s="7"/>
      <c r="D109" s="7"/>
      <c r="E109" s="151"/>
      <c r="F109" s="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4"/>
      <c r="C110" s="7"/>
      <c r="D110" s="7"/>
      <c r="E110" s="151"/>
      <c r="F110" s="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"/>
      <c r="C111" s="7"/>
      <c r="D111" s="7"/>
      <c r="E111" s="151"/>
      <c r="F111" s="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"/>
      <c r="C112" s="7"/>
      <c r="D112" s="7"/>
      <c r="E112" s="151"/>
      <c r="F112" s="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4"/>
      <c r="C113" s="7"/>
      <c r="D113" s="7"/>
      <c r="E113" s="151"/>
      <c r="F113" s="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"/>
      <c r="C114" s="7"/>
      <c r="D114" s="7"/>
      <c r="E114" s="151"/>
      <c r="F114" s="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"/>
      <c r="C115" s="7"/>
      <c r="D115" s="7"/>
      <c r="E115" s="151"/>
      <c r="F115" s="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"/>
      <c r="C116" s="7"/>
      <c r="D116" s="7"/>
      <c r="E116" s="151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4"/>
      <c r="C117" s="7"/>
      <c r="D117" s="7"/>
      <c r="E117" s="151"/>
      <c r="F117" s="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4"/>
      <c r="C118" s="7"/>
      <c r="D118" s="7"/>
      <c r="E118" s="151"/>
      <c r="F118" s="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4"/>
      <c r="C119" s="7"/>
      <c r="D119" s="7"/>
      <c r="E119" s="151"/>
      <c r="F119" s="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4"/>
      <c r="C120" s="7"/>
      <c r="D120" s="7"/>
      <c r="E120" s="151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4"/>
      <c r="C121" s="7"/>
      <c r="D121" s="7"/>
      <c r="E121" s="151"/>
      <c r="F121" s="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4"/>
      <c r="C122" s="7"/>
      <c r="D122" s="7"/>
      <c r="E122" s="151"/>
      <c r="F122" s="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4"/>
      <c r="C123" s="7"/>
      <c r="D123" s="7"/>
      <c r="E123" s="151"/>
      <c r="F123" s="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4"/>
      <c r="C124" s="7"/>
      <c r="D124" s="7"/>
      <c r="E124" s="151"/>
      <c r="F124" s="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4"/>
      <c r="C125" s="7"/>
      <c r="D125" s="7"/>
      <c r="E125" s="151"/>
      <c r="F125" s="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"/>
      <c r="C126" s="7"/>
      <c r="D126" s="7"/>
      <c r="E126" s="151"/>
      <c r="F126" s="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4"/>
      <c r="C127" s="7"/>
      <c r="D127" s="7"/>
      <c r="E127" s="151"/>
      <c r="F127" s="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4"/>
      <c r="C128" s="7"/>
      <c r="D128" s="7"/>
      <c r="E128" s="151"/>
      <c r="F128" s="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4"/>
      <c r="C129" s="7"/>
      <c r="D129" s="7"/>
      <c r="E129" s="151"/>
      <c r="F129" s="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4"/>
      <c r="C130" s="7"/>
      <c r="D130" s="7"/>
      <c r="E130" s="151"/>
      <c r="F130" s="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"/>
      <c r="C131" s="7"/>
      <c r="D131" s="7"/>
      <c r="E131" s="151"/>
      <c r="F131" s="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"/>
      <c r="C132" s="7"/>
      <c r="D132" s="7"/>
      <c r="E132" s="151"/>
      <c r="F132" s="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4"/>
      <c r="C133" s="7"/>
      <c r="D133" s="7"/>
      <c r="E133" s="151"/>
      <c r="F133" s="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4"/>
      <c r="C134" s="7"/>
      <c r="D134" s="7"/>
      <c r="E134" s="151"/>
      <c r="F134" s="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4"/>
      <c r="C135" s="7"/>
      <c r="D135" s="7"/>
      <c r="E135" s="151"/>
      <c r="F135" s="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4"/>
      <c r="C136" s="7"/>
      <c r="D136" s="7"/>
      <c r="E136" s="151"/>
      <c r="F136" s="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4"/>
      <c r="C137" s="7"/>
      <c r="D137" s="7"/>
      <c r="E137" s="151"/>
      <c r="F137" s="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4"/>
      <c r="C138" s="7"/>
      <c r="D138" s="7"/>
      <c r="E138" s="151"/>
      <c r="F138" s="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4"/>
      <c r="C139" s="7"/>
      <c r="D139" s="7"/>
      <c r="E139" s="151"/>
      <c r="F139" s="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4"/>
      <c r="C140" s="7"/>
      <c r="D140" s="7"/>
      <c r="E140" s="151"/>
      <c r="F140" s="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4"/>
      <c r="C141" s="7"/>
      <c r="D141" s="7"/>
      <c r="E141" s="151"/>
      <c r="F141" s="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4"/>
      <c r="C142" s="7"/>
      <c r="D142" s="7"/>
      <c r="E142" s="151"/>
      <c r="F142" s="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4"/>
      <c r="C143" s="7"/>
      <c r="D143" s="7"/>
      <c r="E143" s="151"/>
      <c r="F143" s="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"/>
      <c r="C144" s="7"/>
      <c r="D144" s="7"/>
      <c r="E144" s="151"/>
      <c r="F144" s="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4"/>
      <c r="C145" s="7"/>
      <c r="D145" s="7"/>
      <c r="E145" s="151"/>
      <c r="F145" s="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4"/>
      <c r="C146" s="7"/>
      <c r="D146" s="7"/>
      <c r="E146" s="151"/>
      <c r="F146" s="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4"/>
      <c r="C147" s="7"/>
      <c r="D147" s="7"/>
      <c r="E147" s="151"/>
      <c r="F147" s="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4"/>
      <c r="C148" s="7"/>
      <c r="D148" s="7"/>
      <c r="E148" s="151"/>
      <c r="F148" s="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4"/>
      <c r="C149" s="7"/>
      <c r="D149" s="7"/>
      <c r="E149" s="151"/>
      <c r="F149" s="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4"/>
      <c r="C150" s="7"/>
      <c r="D150" s="7"/>
      <c r="E150" s="151"/>
      <c r="F150" s="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4"/>
      <c r="C151" s="7"/>
      <c r="D151" s="7"/>
      <c r="E151" s="151"/>
      <c r="F151" s="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4"/>
      <c r="C152" s="7"/>
      <c r="D152" s="7"/>
      <c r="E152" s="151"/>
      <c r="F152" s="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4"/>
      <c r="C153" s="7"/>
      <c r="D153" s="7"/>
      <c r="E153" s="151"/>
      <c r="F153" s="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4"/>
      <c r="C154" s="7"/>
      <c r="D154" s="7"/>
      <c r="E154" s="151"/>
      <c r="F154" s="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4"/>
      <c r="C155" s="7"/>
      <c r="D155" s="7"/>
      <c r="E155" s="151"/>
      <c r="F155" s="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4"/>
      <c r="C156" s="7"/>
      <c r="D156" s="7"/>
      <c r="E156" s="151"/>
      <c r="F156" s="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4"/>
      <c r="C157" s="7"/>
      <c r="D157" s="7"/>
      <c r="E157" s="151"/>
      <c r="F157" s="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4"/>
      <c r="C158" s="7"/>
      <c r="D158" s="7"/>
      <c r="E158" s="151"/>
      <c r="F158" s="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4"/>
      <c r="C159" s="7"/>
      <c r="D159" s="7"/>
      <c r="E159" s="151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4"/>
      <c r="C160" s="7"/>
      <c r="D160" s="7"/>
      <c r="E160" s="151"/>
      <c r="F160" s="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4"/>
      <c r="C161" s="7"/>
      <c r="D161" s="7"/>
      <c r="E161" s="15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4"/>
      <c r="C162" s="7"/>
      <c r="D162" s="7"/>
      <c r="E162" s="151"/>
      <c r="F162" s="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4"/>
      <c r="C163" s="7"/>
      <c r="D163" s="7"/>
      <c r="E163" s="151"/>
      <c r="F163" s="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4"/>
      <c r="C164" s="7"/>
      <c r="D164" s="7"/>
      <c r="E164" s="151"/>
      <c r="F164" s="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4"/>
      <c r="C165" s="7"/>
      <c r="D165" s="7"/>
      <c r="E165" s="151"/>
      <c r="F165" s="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4"/>
      <c r="C166" s="7"/>
      <c r="D166" s="7"/>
      <c r="E166" s="151"/>
      <c r="F166" s="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4"/>
      <c r="C167" s="7"/>
      <c r="D167" s="7"/>
      <c r="E167" s="151"/>
      <c r="F167" s="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4"/>
      <c r="C168" s="7"/>
      <c r="D168" s="7"/>
      <c r="E168" s="151"/>
      <c r="F168" s="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4"/>
      <c r="C169" s="7"/>
      <c r="D169" s="7"/>
      <c r="E169" s="151"/>
      <c r="F169" s="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4"/>
      <c r="C170" s="7"/>
      <c r="D170" s="7"/>
      <c r="E170" s="151"/>
      <c r="F170" s="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4"/>
      <c r="C171" s="7"/>
      <c r="D171" s="7"/>
      <c r="E171" s="151"/>
      <c r="F171" s="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4"/>
      <c r="C172" s="7"/>
      <c r="D172" s="7"/>
      <c r="E172" s="151"/>
      <c r="F172" s="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4"/>
      <c r="C173" s="7"/>
      <c r="D173" s="7"/>
      <c r="E173" s="151"/>
      <c r="F173" s="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4"/>
      <c r="C174" s="7"/>
      <c r="D174" s="7"/>
      <c r="E174" s="151"/>
      <c r="F174" s="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4"/>
      <c r="C175" s="7"/>
      <c r="D175" s="7"/>
      <c r="E175" s="151"/>
      <c r="F175" s="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4"/>
      <c r="C176" s="7"/>
      <c r="D176" s="7"/>
      <c r="E176" s="151"/>
      <c r="F176" s="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4"/>
      <c r="C177" s="7"/>
      <c r="D177" s="7"/>
      <c r="E177" s="151"/>
      <c r="F177" s="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4"/>
      <c r="C178" s="7"/>
      <c r="D178" s="7"/>
      <c r="E178" s="151"/>
      <c r="F178" s="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4"/>
      <c r="C179" s="7"/>
      <c r="D179" s="7"/>
      <c r="E179" s="151"/>
      <c r="F179" s="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4"/>
      <c r="C180" s="7"/>
      <c r="D180" s="7"/>
      <c r="E180" s="151"/>
      <c r="F180" s="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4"/>
      <c r="C181" s="7"/>
      <c r="D181" s="7"/>
      <c r="E181" s="151"/>
      <c r="F181" s="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4"/>
      <c r="C182" s="7"/>
      <c r="D182" s="7"/>
      <c r="E182" s="151"/>
      <c r="F182" s="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4"/>
      <c r="C183" s="7"/>
      <c r="D183" s="7"/>
      <c r="E183" s="151"/>
      <c r="F183" s="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4"/>
      <c r="C184" s="7"/>
      <c r="D184" s="7"/>
      <c r="E184" s="151"/>
      <c r="F184" s="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4"/>
      <c r="C185" s="7"/>
      <c r="D185" s="7"/>
      <c r="E185" s="151"/>
      <c r="F185" s="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4"/>
      <c r="C186" s="7"/>
      <c r="D186" s="7"/>
      <c r="E186" s="151"/>
      <c r="F186" s="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4"/>
      <c r="C187" s="7"/>
      <c r="D187" s="7"/>
      <c r="E187" s="151"/>
      <c r="F187" s="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4"/>
      <c r="C188" s="7"/>
      <c r="D188" s="7"/>
      <c r="E188" s="151"/>
      <c r="F188" s="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4"/>
      <c r="C189" s="7"/>
      <c r="D189" s="7"/>
      <c r="E189" s="151"/>
      <c r="F189" s="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4"/>
      <c r="C190" s="7"/>
      <c r="D190" s="7"/>
      <c r="E190" s="151"/>
      <c r="F190" s="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4"/>
      <c r="C191" s="7"/>
      <c r="D191" s="7"/>
      <c r="E191" s="151"/>
      <c r="F191" s="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4"/>
      <c r="C192" s="7"/>
      <c r="D192" s="7"/>
      <c r="E192" s="151"/>
      <c r="F192" s="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4"/>
      <c r="C193" s="7"/>
      <c r="D193" s="7"/>
      <c r="E193" s="151"/>
      <c r="F193" s="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4"/>
      <c r="C194" s="7"/>
      <c r="D194" s="7"/>
      <c r="E194" s="151"/>
      <c r="F194" s="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4"/>
      <c r="C195" s="7"/>
      <c r="D195" s="7"/>
      <c r="E195" s="151"/>
      <c r="F195" s="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4"/>
      <c r="C196" s="7"/>
      <c r="D196" s="7"/>
      <c r="E196" s="151"/>
      <c r="F196" s="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4"/>
      <c r="C197" s="7"/>
      <c r="D197" s="7"/>
      <c r="E197" s="151"/>
      <c r="F197" s="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4"/>
      <c r="C198" s="7"/>
      <c r="D198" s="7"/>
      <c r="E198" s="151"/>
      <c r="F198" s="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4"/>
      <c r="C199" s="7"/>
      <c r="D199" s="7"/>
      <c r="E199" s="151"/>
      <c r="F199" s="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4"/>
      <c r="C200" s="7"/>
      <c r="D200" s="7"/>
      <c r="E200" s="151"/>
      <c r="F200" s="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4"/>
      <c r="C201" s="7"/>
      <c r="D201" s="7"/>
      <c r="E201" s="151"/>
      <c r="F201" s="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4"/>
      <c r="C202" s="7"/>
      <c r="D202" s="7"/>
      <c r="E202" s="151"/>
      <c r="F202" s="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4"/>
      <c r="C203" s="7"/>
      <c r="D203" s="7"/>
      <c r="E203" s="151"/>
      <c r="F203" s="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4"/>
      <c r="C204" s="7"/>
      <c r="D204" s="7"/>
      <c r="E204" s="151"/>
      <c r="F204" s="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4"/>
      <c r="C205" s="7"/>
      <c r="D205" s="7"/>
      <c r="E205" s="151"/>
      <c r="F205" s="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4"/>
      <c r="C206" s="7"/>
      <c r="D206" s="7"/>
      <c r="E206" s="151"/>
      <c r="F206" s="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4"/>
      <c r="C207" s="7"/>
      <c r="D207" s="7"/>
      <c r="E207" s="151"/>
      <c r="F207" s="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4"/>
      <c r="C208" s="7"/>
      <c r="D208" s="7"/>
      <c r="E208" s="151"/>
      <c r="F208" s="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4"/>
      <c r="C209" s="7"/>
      <c r="D209" s="7"/>
      <c r="E209" s="151"/>
      <c r="F209" s="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4"/>
      <c r="C210" s="7"/>
      <c r="D210" s="7"/>
      <c r="E210" s="151"/>
      <c r="F210" s="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4"/>
      <c r="C211" s="7"/>
      <c r="D211" s="7"/>
      <c r="E211" s="151"/>
      <c r="F211" s="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4"/>
      <c r="C212" s="7"/>
      <c r="D212" s="7"/>
      <c r="E212" s="151"/>
      <c r="F212" s="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4"/>
      <c r="C213" s="7"/>
      <c r="D213" s="7"/>
      <c r="E213" s="151"/>
      <c r="F213" s="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4"/>
      <c r="C214" s="7"/>
      <c r="D214" s="7"/>
      <c r="E214" s="151"/>
      <c r="F214" s="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4"/>
      <c r="C215" s="7"/>
      <c r="D215" s="7"/>
      <c r="E215" s="151"/>
      <c r="F215" s="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4"/>
      <c r="C216" s="7"/>
      <c r="D216" s="7"/>
      <c r="E216" s="151"/>
      <c r="F216" s="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4"/>
      <c r="C217" s="7"/>
      <c r="D217" s="7"/>
      <c r="E217" s="151"/>
      <c r="F217" s="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4"/>
      <c r="C218" s="7"/>
      <c r="D218" s="7"/>
      <c r="E218" s="151"/>
      <c r="F218" s="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4"/>
      <c r="C219" s="7"/>
      <c r="D219" s="7"/>
      <c r="E219" s="151"/>
      <c r="F219" s="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4"/>
      <c r="C220" s="7"/>
      <c r="D220" s="7"/>
      <c r="E220" s="151"/>
      <c r="F220" s="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E221" s="168"/>
    </row>
    <row r="222">
      <c r="E222" s="168"/>
    </row>
    <row r="223">
      <c r="E223" s="168"/>
    </row>
    <row r="224">
      <c r="E224" s="168"/>
    </row>
    <row r="225">
      <c r="E225" s="168"/>
    </row>
    <row r="226">
      <c r="E226" s="168"/>
    </row>
    <row r="227">
      <c r="E227" s="168"/>
    </row>
    <row r="228">
      <c r="E228" s="168"/>
    </row>
    <row r="229">
      <c r="E229" s="168"/>
    </row>
    <row r="230">
      <c r="E230" s="168"/>
    </row>
    <row r="231">
      <c r="E231" s="168"/>
    </row>
    <row r="232">
      <c r="E232" s="168"/>
    </row>
    <row r="233">
      <c r="E233" s="168"/>
    </row>
    <row r="234">
      <c r="E234" s="168"/>
    </row>
    <row r="235">
      <c r="E235" s="168"/>
    </row>
    <row r="236">
      <c r="E236" s="168"/>
    </row>
    <row r="237">
      <c r="E237" s="168"/>
    </row>
    <row r="238">
      <c r="E238" s="168"/>
    </row>
    <row r="239">
      <c r="E239" s="168"/>
    </row>
    <row r="240">
      <c r="E240" s="168"/>
    </row>
    <row r="241">
      <c r="E241" s="168"/>
    </row>
    <row r="242">
      <c r="E242" s="168"/>
    </row>
    <row r="243">
      <c r="E243" s="168"/>
    </row>
    <row r="244">
      <c r="E244" s="168"/>
    </row>
    <row r="245">
      <c r="E245" s="168"/>
    </row>
    <row r="246">
      <c r="E246" s="168"/>
    </row>
    <row r="247">
      <c r="E247" s="168"/>
    </row>
    <row r="248">
      <c r="E248" s="168"/>
    </row>
    <row r="249">
      <c r="E249" s="168"/>
    </row>
    <row r="250">
      <c r="E250" s="168"/>
    </row>
    <row r="251">
      <c r="E251" s="168"/>
    </row>
    <row r="252">
      <c r="E252" s="168"/>
    </row>
    <row r="253">
      <c r="E253" s="168"/>
    </row>
    <row r="254">
      <c r="E254" s="168"/>
    </row>
    <row r="255">
      <c r="E255" s="168"/>
    </row>
    <row r="256">
      <c r="E256" s="168"/>
    </row>
    <row r="257">
      <c r="E257" s="168"/>
    </row>
    <row r="258">
      <c r="E258" s="168"/>
    </row>
    <row r="259">
      <c r="E259" s="168"/>
    </row>
    <row r="260">
      <c r="E260" s="168"/>
    </row>
    <row r="261">
      <c r="E261" s="168"/>
    </row>
    <row r="262">
      <c r="E262" s="168"/>
    </row>
    <row r="263">
      <c r="E263" s="168"/>
    </row>
    <row r="264">
      <c r="E264" s="168"/>
    </row>
    <row r="265">
      <c r="E265" s="168"/>
    </row>
    <row r="266">
      <c r="E266" s="168"/>
    </row>
    <row r="267">
      <c r="E267" s="168"/>
    </row>
    <row r="268">
      <c r="E268" s="168"/>
    </row>
    <row r="269">
      <c r="E269" s="168"/>
    </row>
    <row r="270">
      <c r="E270" s="168"/>
    </row>
    <row r="271">
      <c r="E271" s="168"/>
    </row>
    <row r="272">
      <c r="E272" s="168"/>
    </row>
    <row r="273">
      <c r="E273" s="168"/>
    </row>
    <row r="274">
      <c r="E274" s="168"/>
    </row>
    <row r="275">
      <c r="E275" s="168"/>
    </row>
    <row r="276">
      <c r="E276" s="168"/>
    </row>
    <row r="277">
      <c r="E277" s="168"/>
    </row>
    <row r="278">
      <c r="E278" s="168"/>
    </row>
    <row r="279">
      <c r="E279" s="168"/>
    </row>
    <row r="280">
      <c r="E280" s="168"/>
    </row>
    <row r="281">
      <c r="E281" s="168"/>
    </row>
    <row r="282">
      <c r="E282" s="168"/>
    </row>
    <row r="283">
      <c r="E283" s="168"/>
    </row>
    <row r="284">
      <c r="E284" s="168"/>
    </row>
    <row r="285">
      <c r="E285" s="168"/>
    </row>
    <row r="286">
      <c r="E286" s="168"/>
    </row>
    <row r="287">
      <c r="E287" s="168"/>
    </row>
    <row r="288">
      <c r="E288" s="168"/>
    </row>
    <row r="289">
      <c r="E289" s="168"/>
    </row>
    <row r="290">
      <c r="E290" s="168"/>
    </row>
    <row r="291">
      <c r="E291" s="168"/>
    </row>
    <row r="292">
      <c r="E292" s="168"/>
    </row>
    <row r="293">
      <c r="E293" s="168"/>
    </row>
    <row r="294">
      <c r="E294" s="168"/>
    </row>
    <row r="295">
      <c r="E295" s="168"/>
    </row>
    <row r="296">
      <c r="E296" s="168"/>
    </row>
    <row r="297">
      <c r="E297" s="168"/>
    </row>
    <row r="298">
      <c r="E298" s="168"/>
    </row>
    <row r="299">
      <c r="E299" s="168"/>
    </row>
    <row r="300">
      <c r="E300" s="168"/>
    </row>
    <row r="301">
      <c r="E301" s="168"/>
    </row>
    <row r="302">
      <c r="E302" s="168"/>
    </row>
    <row r="303">
      <c r="E303" s="168"/>
    </row>
    <row r="304">
      <c r="E304" s="168"/>
    </row>
    <row r="305">
      <c r="E305" s="168"/>
    </row>
    <row r="306">
      <c r="E306" s="168"/>
    </row>
    <row r="307">
      <c r="E307" s="168"/>
    </row>
    <row r="308">
      <c r="E308" s="168"/>
    </row>
    <row r="309">
      <c r="E309" s="168"/>
    </row>
    <row r="310">
      <c r="E310" s="168"/>
    </row>
    <row r="311">
      <c r="E311" s="168"/>
    </row>
    <row r="312">
      <c r="E312" s="168"/>
    </row>
    <row r="313">
      <c r="E313" s="168"/>
    </row>
    <row r="314">
      <c r="E314" s="168"/>
    </row>
    <row r="315">
      <c r="E315" s="168"/>
    </row>
    <row r="316">
      <c r="E316" s="168"/>
    </row>
    <row r="317">
      <c r="E317" s="168"/>
    </row>
    <row r="318">
      <c r="E318" s="168"/>
    </row>
    <row r="319">
      <c r="E319" s="168"/>
    </row>
    <row r="320">
      <c r="E320" s="168"/>
    </row>
    <row r="321">
      <c r="E321" s="168"/>
    </row>
    <row r="322">
      <c r="E322" s="168"/>
    </row>
    <row r="323">
      <c r="E323" s="168"/>
    </row>
    <row r="324">
      <c r="E324" s="168"/>
    </row>
    <row r="325">
      <c r="E325" s="168"/>
    </row>
    <row r="326">
      <c r="E326" s="168"/>
    </row>
    <row r="327">
      <c r="E327" s="168"/>
    </row>
    <row r="328">
      <c r="E328" s="168"/>
    </row>
    <row r="329">
      <c r="E329" s="168"/>
    </row>
    <row r="330">
      <c r="E330" s="168"/>
    </row>
    <row r="331">
      <c r="E331" s="168"/>
    </row>
    <row r="332">
      <c r="E332" s="168"/>
    </row>
    <row r="333">
      <c r="E333" s="168"/>
    </row>
    <row r="334">
      <c r="E334" s="168"/>
    </row>
    <row r="335">
      <c r="E335" s="168"/>
    </row>
    <row r="336">
      <c r="E336" s="168"/>
    </row>
    <row r="337">
      <c r="E337" s="168"/>
    </row>
    <row r="338">
      <c r="E338" s="168"/>
    </row>
    <row r="339">
      <c r="E339" s="168"/>
    </row>
    <row r="340">
      <c r="E340" s="168"/>
    </row>
    <row r="341">
      <c r="E341" s="168"/>
    </row>
    <row r="342">
      <c r="E342" s="168"/>
    </row>
    <row r="343">
      <c r="E343" s="168"/>
    </row>
    <row r="344">
      <c r="E344" s="168"/>
    </row>
    <row r="345">
      <c r="E345" s="168"/>
    </row>
    <row r="346">
      <c r="E346" s="168"/>
    </row>
    <row r="347">
      <c r="E347" s="168"/>
    </row>
    <row r="348">
      <c r="E348" s="168"/>
    </row>
    <row r="349">
      <c r="E349" s="168"/>
    </row>
    <row r="350">
      <c r="E350" s="168"/>
    </row>
    <row r="351">
      <c r="E351" s="168"/>
    </row>
    <row r="352">
      <c r="E352" s="168"/>
    </row>
    <row r="353">
      <c r="E353" s="168"/>
    </row>
    <row r="354">
      <c r="E354" s="168"/>
    </row>
    <row r="355">
      <c r="E355" s="168"/>
    </row>
    <row r="356">
      <c r="E356" s="168"/>
    </row>
    <row r="357">
      <c r="E357" s="168"/>
    </row>
    <row r="358">
      <c r="E358" s="168"/>
    </row>
    <row r="359">
      <c r="E359" s="168"/>
    </row>
    <row r="360">
      <c r="E360" s="168"/>
    </row>
    <row r="361">
      <c r="E361" s="168"/>
    </row>
    <row r="362">
      <c r="E362" s="168"/>
    </row>
    <row r="363">
      <c r="E363" s="168"/>
    </row>
    <row r="364">
      <c r="E364" s="168"/>
    </row>
    <row r="365">
      <c r="E365" s="168"/>
    </row>
    <row r="366">
      <c r="E366" s="168"/>
    </row>
    <row r="367">
      <c r="E367" s="168"/>
    </row>
    <row r="368">
      <c r="E368" s="168"/>
    </row>
    <row r="369">
      <c r="E369" s="168"/>
    </row>
    <row r="370">
      <c r="E370" s="168"/>
    </row>
    <row r="371">
      <c r="E371" s="168"/>
    </row>
    <row r="372">
      <c r="E372" s="168"/>
    </row>
    <row r="373">
      <c r="E373" s="168"/>
    </row>
    <row r="374">
      <c r="E374" s="168"/>
    </row>
    <row r="375">
      <c r="E375" s="168"/>
    </row>
    <row r="376">
      <c r="E376" s="168"/>
    </row>
    <row r="377">
      <c r="E377" s="168"/>
    </row>
    <row r="378">
      <c r="E378" s="168"/>
    </row>
    <row r="379">
      <c r="E379" s="168"/>
    </row>
    <row r="380">
      <c r="E380" s="168"/>
    </row>
    <row r="381">
      <c r="E381" s="168"/>
    </row>
    <row r="382">
      <c r="E382" s="168"/>
    </row>
    <row r="383">
      <c r="E383" s="168"/>
    </row>
    <row r="384">
      <c r="E384" s="168"/>
    </row>
    <row r="385">
      <c r="E385" s="168"/>
    </row>
    <row r="386">
      <c r="E386" s="168"/>
    </row>
    <row r="387">
      <c r="E387" s="168"/>
    </row>
    <row r="388">
      <c r="E388" s="168"/>
    </row>
    <row r="389">
      <c r="E389" s="168"/>
    </row>
    <row r="390">
      <c r="E390" s="168"/>
    </row>
    <row r="391">
      <c r="E391" s="168"/>
    </row>
    <row r="392">
      <c r="E392" s="168"/>
    </row>
    <row r="393">
      <c r="E393" s="168"/>
    </row>
    <row r="394">
      <c r="E394" s="168"/>
    </row>
    <row r="395">
      <c r="E395" s="168"/>
    </row>
    <row r="396">
      <c r="E396" s="168"/>
    </row>
    <row r="397">
      <c r="E397" s="168"/>
    </row>
    <row r="398">
      <c r="E398" s="168"/>
    </row>
    <row r="399">
      <c r="E399" s="168"/>
    </row>
    <row r="400">
      <c r="E400" s="168"/>
    </row>
    <row r="401">
      <c r="E401" s="168"/>
    </row>
    <row r="402">
      <c r="E402" s="168"/>
    </row>
    <row r="403">
      <c r="E403" s="168"/>
    </row>
    <row r="404">
      <c r="E404" s="168"/>
    </row>
    <row r="405">
      <c r="E405" s="168"/>
    </row>
    <row r="406">
      <c r="E406" s="168"/>
    </row>
    <row r="407">
      <c r="E407" s="168"/>
    </row>
    <row r="408">
      <c r="E408" s="168"/>
    </row>
    <row r="409">
      <c r="E409" s="168"/>
    </row>
    <row r="410">
      <c r="E410" s="168"/>
    </row>
    <row r="411">
      <c r="E411" s="168"/>
    </row>
    <row r="412">
      <c r="E412" s="168"/>
    </row>
    <row r="413">
      <c r="E413" s="168"/>
    </row>
    <row r="414">
      <c r="E414" s="168"/>
    </row>
    <row r="415">
      <c r="E415" s="168"/>
    </row>
    <row r="416">
      <c r="E416" s="168"/>
    </row>
    <row r="417">
      <c r="E417" s="168"/>
    </row>
    <row r="418">
      <c r="E418" s="168"/>
    </row>
    <row r="419">
      <c r="E419" s="168"/>
    </row>
    <row r="420">
      <c r="E420" s="168"/>
    </row>
    <row r="421">
      <c r="E421" s="168"/>
    </row>
    <row r="422">
      <c r="E422" s="168"/>
    </row>
    <row r="423">
      <c r="E423" s="168"/>
    </row>
    <row r="424">
      <c r="E424" s="168"/>
    </row>
    <row r="425">
      <c r="E425" s="168"/>
    </row>
    <row r="426">
      <c r="E426" s="168"/>
    </row>
    <row r="427">
      <c r="E427" s="168"/>
    </row>
    <row r="428">
      <c r="E428" s="168"/>
    </row>
    <row r="429">
      <c r="E429" s="168"/>
    </row>
    <row r="430">
      <c r="E430" s="168"/>
    </row>
    <row r="431">
      <c r="E431" s="168"/>
    </row>
    <row r="432">
      <c r="E432" s="168"/>
    </row>
    <row r="433">
      <c r="E433" s="168"/>
    </row>
    <row r="434">
      <c r="E434" s="168"/>
    </row>
    <row r="435">
      <c r="E435" s="168"/>
    </row>
    <row r="436">
      <c r="E436" s="168"/>
    </row>
    <row r="437">
      <c r="E437" s="168"/>
    </row>
    <row r="438">
      <c r="E438" s="168"/>
    </row>
    <row r="439">
      <c r="E439" s="168"/>
    </row>
    <row r="440">
      <c r="E440" s="168"/>
    </row>
    <row r="441">
      <c r="E441" s="168"/>
    </row>
    <row r="442">
      <c r="E442" s="168"/>
    </row>
    <row r="443">
      <c r="E443" s="168"/>
    </row>
    <row r="444">
      <c r="E444" s="168"/>
    </row>
    <row r="445">
      <c r="E445" s="168"/>
    </row>
    <row r="446">
      <c r="E446" s="168"/>
    </row>
    <row r="447">
      <c r="E447" s="168"/>
    </row>
    <row r="448">
      <c r="E448" s="168"/>
    </row>
    <row r="449">
      <c r="E449" s="168"/>
    </row>
    <row r="450">
      <c r="E450" s="168"/>
    </row>
    <row r="451">
      <c r="E451" s="168"/>
    </row>
    <row r="452">
      <c r="E452" s="168"/>
    </row>
    <row r="453">
      <c r="E453" s="168"/>
    </row>
    <row r="454">
      <c r="E454" s="168"/>
    </row>
    <row r="455">
      <c r="E455" s="168"/>
    </row>
    <row r="456">
      <c r="E456" s="168"/>
    </row>
    <row r="457">
      <c r="E457" s="168"/>
    </row>
    <row r="458">
      <c r="E458" s="168"/>
    </row>
    <row r="459">
      <c r="E459" s="168"/>
    </row>
    <row r="460">
      <c r="E460" s="168"/>
    </row>
    <row r="461">
      <c r="E461" s="168"/>
    </row>
    <row r="462">
      <c r="E462" s="168"/>
    </row>
    <row r="463">
      <c r="E463" s="168"/>
    </row>
    <row r="464">
      <c r="E464" s="168"/>
    </row>
    <row r="465">
      <c r="E465" s="168"/>
    </row>
    <row r="466">
      <c r="E466" s="168"/>
    </row>
    <row r="467">
      <c r="E467" s="168"/>
    </row>
    <row r="468">
      <c r="E468" s="168"/>
    </row>
    <row r="469">
      <c r="E469" s="168"/>
    </row>
    <row r="470">
      <c r="E470" s="168"/>
    </row>
    <row r="471">
      <c r="E471" s="168"/>
    </row>
    <row r="472">
      <c r="E472" s="168"/>
    </row>
    <row r="473">
      <c r="E473" s="168"/>
    </row>
    <row r="474">
      <c r="E474" s="168"/>
    </row>
    <row r="475">
      <c r="E475" s="168"/>
    </row>
    <row r="476">
      <c r="E476" s="168"/>
    </row>
    <row r="477">
      <c r="E477" s="168"/>
    </row>
    <row r="478">
      <c r="E478" s="168"/>
    </row>
    <row r="479">
      <c r="E479" s="168"/>
    </row>
    <row r="480">
      <c r="E480" s="168"/>
    </row>
    <row r="481">
      <c r="E481" s="168"/>
    </row>
    <row r="482">
      <c r="E482" s="168"/>
    </row>
    <row r="483">
      <c r="E483" s="168"/>
    </row>
    <row r="484">
      <c r="E484" s="168"/>
    </row>
    <row r="485">
      <c r="E485" s="168"/>
    </row>
    <row r="486">
      <c r="E486" s="168"/>
    </row>
    <row r="487">
      <c r="E487" s="168"/>
    </row>
    <row r="488">
      <c r="E488" s="168"/>
    </row>
    <row r="489">
      <c r="E489" s="168"/>
    </row>
    <row r="490">
      <c r="E490" s="168"/>
    </row>
    <row r="491">
      <c r="E491" s="168"/>
    </row>
    <row r="492">
      <c r="E492" s="168"/>
    </row>
    <row r="493">
      <c r="E493" s="168"/>
    </row>
    <row r="494">
      <c r="E494" s="168"/>
    </row>
    <row r="495">
      <c r="E495" s="168"/>
    </row>
    <row r="496">
      <c r="E496" s="168"/>
    </row>
    <row r="497">
      <c r="E497" s="168"/>
    </row>
    <row r="498">
      <c r="E498" s="168"/>
    </row>
    <row r="499">
      <c r="E499" s="168"/>
    </row>
    <row r="500">
      <c r="E500" s="168"/>
    </row>
    <row r="501">
      <c r="E501" s="168"/>
    </row>
    <row r="502">
      <c r="E502" s="168"/>
    </row>
    <row r="503">
      <c r="E503" s="168"/>
    </row>
    <row r="504">
      <c r="E504" s="168"/>
    </row>
    <row r="505">
      <c r="E505" s="168"/>
    </row>
    <row r="506">
      <c r="E506" s="168"/>
    </row>
    <row r="507">
      <c r="E507" s="168"/>
    </row>
    <row r="508">
      <c r="E508" s="168"/>
    </row>
    <row r="509">
      <c r="E509" s="168"/>
    </row>
    <row r="510">
      <c r="E510" s="168"/>
    </row>
    <row r="511">
      <c r="E511" s="168"/>
    </row>
    <row r="512">
      <c r="E512" s="168"/>
    </row>
    <row r="513">
      <c r="E513" s="168"/>
    </row>
    <row r="514">
      <c r="E514" s="168"/>
    </row>
    <row r="515">
      <c r="E515" s="168"/>
    </row>
    <row r="516">
      <c r="E516" s="168"/>
    </row>
    <row r="517">
      <c r="E517" s="168"/>
    </row>
    <row r="518">
      <c r="E518" s="168"/>
    </row>
    <row r="519">
      <c r="E519" s="168"/>
    </row>
    <row r="520">
      <c r="E520" s="168"/>
    </row>
    <row r="521">
      <c r="E521" s="168"/>
    </row>
    <row r="522">
      <c r="E522" s="168"/>
    </row>
    <row r="523">
      <c r="E523" s="168"/>
    </row>
    <row r="524">
      <c r="E524" s="168"/>
    </row>
    <row r="525">
      <c r="E525" s="168"/>
    </row>
    <row r="526">
      <c r="E526" s="168"/>
    </row>
    <row r="527">
      <c r="E527" s="168"/>
    </row>
    <row r="528">
      <c r="E528" s="168"/>
    </row>
    <row r="529">
      <c r="E529" s="168"/>
    </row>
    <row r="530">
      <c r="E530" s="168"/>
    </row>
    <row r="531">
      <c r="E531" s="168"/>
    </row>
    <row r="532">
      <c r="E532" s="168"/>
    </row>
    <row r="533">
      <c r="E533" s="168"/>
    </row>
    <row r="534">
      <c r="E534" s="168"/>
    </row>
    <row r="535">
      <c r="E535" s="168"/>
    </row>
    <row r="536">
      <c r="E536" s="168"/>
    </row>
    <row r="537">
      <c r="E537" s="168"/>
    </row>
    <row r="538">
      <c r="E538" s="168"/>
    </row>
    <row r="539">
      <c r="E539" s="168"/>
    </row>
    <row r="540">
      <c r="E540" s="168"/>
    </row>
    <row r="541">
      <c r="E541" s="168"/>
    </row>
    <row r="542">
      <c r="E542" s="168"/>
    </row>
    <row r="543">
      <c r="E543" s="168"/>
    </row>
    <row r="544">
      <c r="E544" s="168"/>
    </row>
    <row r="545">
      <c r="E545" s="168"/>
    </row>
    <row r="546">
      <c r="E546" s="168"/>
    </row>
    <row r="547">
      <c r="E547" s="168"/>
    </row>
    <row r="548">
      <c r="E548" s="168"/>
    </row>
    <row r="549">
      <c r="E549" s="168"/>
    </row>
    <row r="550">
      <c r="E550" s="168"/>
    </row>
    <row r="551">
      <c r="E551" s="168"/>
    </row>
    <row r="552">
      <c r="E552" s="168"/>
    </row>
    <row r="553">
      <c r="E553" s="168"/>
    </row>
    <row r="554">
      <c r="E554" s="168"/>
    </row>
    <row r="555">
      <c r="E555" s="168"/>
    </row>
    <row r="556">
      <c r="E556" s="168"/>
    </row>
    <row r="557">
      <c r="E557" s="168"/>
    </row>
    <row r="558">
      <c r="E558" s="168"/>
    </row>
    <row r="559">
      <c r="E559" s="168"/>
    </row>
    <row r="560">
      <c r="E560" s="168"/>
    </row>
    <row r="561">
      <c r="E561" s="168"/>
    </row>
    <row r="562">
      <c r="E562" s="168"/>
    </row>
    <row r="563">
      <c r="E563" s="168"/>
    </row>
    <row r="564">
      <c r="E564" s="168"/>
    </row>
    <row r="565">
      <c r="E565" s="168"/>
    </row>
    <row r="566">
      <c r="E566" s="168"/>
    </row>
    <row r="567">
      <c r="E567" s="168"/>
    </row>
    <row r="568">
      <c r="E568" s="168"/>
    </row>
    <row r="569">
      <c r="E569" s="168"/>
    </row>
    <row r="570">
      <c r="E570" s="168"/>
    </row>
    <row r="571">
      <c r="E571" s="168"/>
    </row>
    <row r="572">
      <c r="E572" s="168"/>
    </row>
    <row r="573">
      <c r="E573" s="168"/>
    </row>
    <row r="574">
      <c r="E574" s="168"/>
    </row>
    <row r="575">
      <c r="E575" s="168"/>
    </row>
    <row r="576">
      <c r="E576" s="168"/>
    </row>
    <row r="577">
      <c r="E577" s="168"/>
    </row>
    <row r="578">
      <c r="E578" s="168"/>
    </row>
    <row r="579">
      <c r="E579" s="168"/>
    </row>
    <row r="580">
      <c r="E580" s="168"/>
    </row>
    <row r="581">
      <c r="E581" s="168"/>
    </row>
    <row r="582">
      <c r="E582" s="168"/>
    </row>
    <row r="583">
      <c r="E583" s="168"/>
    </row>
    <row r="584">
      <c r="E584" s="168"/>
    </row>
    <row r="585">
      <c r="E585" s="168"/>
    </row>
    <row r="586">
      <c r="E586" s="168"/>
    </row>
    <row r="587">
      <c r="E587" s="168"/>
    </row>
    <row r="588">
      <c r="E588" s="168"/>
    </row>
    <row r="589">
      <c r="E589" s="168"/>
    </row>
    <row r="590">
      <c r="E590" s="168"/>
    </row>
    <row r="591">
      <c r="E591" s="168"/>
    </row>
    <row r="592">
      <c r="E592" s="168"/>
    </row>
    <row r="593">
      <c r="E593" s="168"/>
    </row>
    <row r="594">
      <c r="E594" s="168"/>
    </row>
    <row r="595">
      <c r="E595" s="168"/>
    </row>
    <row r="596">
      <c r="E596" s="168"/>
    </row>
    <row r="597">
      <c r="E597" s="168"/>
    </row>
    <row r="598">
      <c r="E598" s="168"/>
    </row>
    <row r="599">
      <c r="E599" s="168"/>
    </row>
    <row r="600">
      <c r="E600" s="168"/>
    </row>
    <row r="601">
      <c r="E601" s="168"/>
    </row>
    <row r="602">
      <c r="E602" s="168"/>
    </row>
    <row r="603">
      <c r="E603" s="168"/>
    </row>
    <row r="604">
      <c r="E604" s="168"/>
    </row>
    <row r="605">
      <c r="E605" s="168"/>
    </row>
    <row r="606">
      <c r="E606" s="168"/>
    </row>
    <row r="607">
      <c r="E607" s="168"/>
    </row>
    <row r="608">
      <c r="E608" s="168"/>
    </row>
    <row r="609">
      <c r="E609" s="168"/>
    </row>
    <row r="610">
      <c r="E610" s="168"/>
    </row>
    <row r="611">
      <c r="E611" s="168"/>
    </row>
    <row r="612">
      <c r="E612" s="168"/>
    </row>
    <row r="613">
      <c r="E613" s="168"/>
    </row>
    <row r="614">
      <c r="E614" s="168"/>
    </row>
    <row r="615">
      <c r="E615" s="168"/>
    </row>
    <row r="616">
      <c r="E616" s="168"/>
    </row>
    <row r="617">
      <c r="E617" s="168"/>
    </row>
    <row r="618">
      <c r="E618" s="168"/>
    </row>
    <row r="619">
      <c r="E619" s="168"/>
    </row>
    <row r="620">
      <c r="E620" s="168"/>
    </row>
    <row r="621">
      <c r="E621" s="168"/>
    </row>
    <row r="622">
      <c r="E622" s="168"/>
    </row>
    <row r="623">
      <c r="E623" s="168"/>
    </row>
    <row r="624">
      <c r="E624" s="168"/>
    </row>
    <row r="625">
      <c r="E625" s="168"/>
    </row>
    <row r="626">
      <c r="E626" s="168"/>
    </row>
    <row r="627">
      <c r="E627" s="168"/>
    </row>
    <row r="628">
      <c r="E628" s="168"/>
    </row>
    <row r="629">
      <c r="E629" s="168"/>
    </row>
    <row r="630">
      <c r="E630" s="168"/>
    </row>
    <row r="631">
      <c r="E631" s="168"/>
    </row>
    <row r="632">
      <c r="E632" s="168"/>
    </row>
    <row r="633">
      <c r="E633" s="168"/>
    </row>
    <row r="634">
      <c r="E634" s="168"/>
    </row>
    <row r="635">
      <c r="E635" s="168"/>
    </row>
    <row r="636">
      <c r="E636" s="168"/>
    </row>
    <row r="637">
      <c r="E637" s="168"/>
    </row>
    <row r="638">
      <c r="E638" s="168"/>
    </row>
    <row r="639">
      <c r="E639" s="168"/>
    </row>
    <row r="640">
      <c r="E640" s="168"/>
    </row>
    <row r="641">
      <c r="E641" s="168"/>
    </row>
    <row r="642">
      <c r="E642" s="168"/>
    </row>
    <row r="643">
      <c r="E643" s="168"/>
    </row>
    <row r="644">
      <c r="E644" s="168"/>
    </row>
    <row r="645">
      <c r="E645" s="168"/>
    </row>
    <row r="646">
      <c r="E646" s="168"/>
    </row>
    <row r="647">
      <c r="E647" s="168"/>
    </row>
    <row r="648">
      <c r="E648" s="168"/>
    </row>
    <row r="649">
      <c r="E649" s="168"/>
    </row>
    <row r="650">
      <c r="E650" s="168"/>
    </row>
    <row r="651">
      <c r="E651" s="168"/>
    </row>
    <row r="652">
      <c r="E652" s="168"/>
    </row>
    <row r="653">
      <c r="E653" s="168"/>
    </row>
    <row r="654">
      <c r="E654" s="168"/>
    </row>
    <row r="655">
      <c r="E655" s="168"/>
    </row>
    <row r="656">
      <c r="E656" s="168"/>
    </row>
    <row r="657">
      <c r="E657" s="168"/>
    </row>
    <row r="658">
      <c r="E658" s="168"/>
    </row>
    <row r="659">
      <c r="E659" s="168"/>
    </row>
    <row r="660">
      <c r="E660" s="168"/>
    </row>
    <row r="661">
      <c r="E661" s="168"/>
    </row>
    <row r="662">
      <c r="E662" s="168"/>
    </row>
    <row r="663">
      <c r="E663" s="168"/>
    </row>
    <row r="664">
      <c r="E664" s="168"/>
    </row>
    <row r="665">
      <c r="E665" s="168"/>
    </row>
    <row r="666">
      <c r="E666" s="168"/>
    </row>
    <row r="667">
      <c r="E667" s="168"/>
    </row>
    <row r="668">
      <c r="E668" s="168"/>
    </row>
    <row r="669">
      <c r="E669" s="168"/>
    </row>
    <row r="670">
      <c r="E670" s="168"/>
    </row>
    <row r="671">
      <c r="E671" s="168"/>
    </row>
    <row r="672">
      <c r="E672" s="168"/>
    </row>
    <row r="673">
      <c r="E673" s="168"/>
    </row>
    <row r="674">
      <c r="E674" s="168"/>
    </row>
    <row r="675">
      <c r="E675" s="168"/>
    </row>
    <row r="676">
      <c r="E676" s="168"/>
    </row>
    <row r="677">
      <c r="E677" s="168"/>
    </row>
    <row r="678">
      <c r="E678" s="168"/>
    </row>
    <row r="679">
      <c r="E679" s="168"/>
    </row>
    <row r="680">
      <c r="E680" s="168"/>
    </row>
    <row r="681">
      <c r="E681" s="168"/>
    </row>
    <row r="682">
      <c r="E682" s="168"/>
    </row>
    <row r="683">
      <c r="E683" s="168"/>
    </row>
    <row r="684">
      <c r="E684" s="168"/>
    </row>
    <row r="685">
      <c r="E685" s="168"/>
    </row>
    <row r="686">
      <c r="E686" s="168"/>
    </row>
    <row r="687">
      <c r="E687" s="168"/>
    </row>
    <row r="688">
      <c r="E688" s="168"/>
    </row>
    <row r="689">
      <c r="E689" s="168"/>
    </row>
    <row r="690">
      <c r="E690" s="168"/>
    </row>
    <row r="691">
      <c r="E691" s="168"/>
    </row>
    <row r="692">
      <c r="E692" s="168"/>
    </row>
    <row r="693">
      <c r="E693" s="168"/>
    </row>
    <row r="694">
      <c r="E694" s="168"/>
    </row>
    <row r="695">
      <c r="E695" s="168"/>
    </row>
    <row r="696">
      <c r="E696" s="168"/>
    </row>
    <row r="697">
      <c r="E697" s="168"/>
    </row>
    <row r="698">
      <c r="E698" s="168"/>
    </row>
    <row r="699">
      <c r="E699" s="168"/>
    </row>
    <row r="700">
      <c r="E700" s="168"/>
    </row>
    <row r="701">
      <c r="E701" s="168"/>
    </row>
    <row r="702">
      <c r="E702" s="168"/>
    </row>
    <row r="703">
      <c r="E703" s="168"/>
    </row>
    <row r="704">
      <c r="E704" s="168"/>
    </row>
    <row r="705">
      <c r="E705" s="168"/>
    </row>
    <row r="706">
      <c r="E706" s="168"/>
    </row>
    <row r="707">
      <c r="E707" s="168"/>
    </row>
    <row r="708">
      <c r="E708" s="168"/>
    </row>
    <row r="709">
      <c r="E709" s="168"/>
    </row>
    <row r="710">
      <c r="E710" s="168"/>
    </row>
    <row r="711">
      <c r="E711" s="168"/>
    </row>
    <row r="712">
      <c r="E712" s="168"/>
    </row>
    <row r="713">
      <c r="E713" s="168"/>
    </row>
    <row r="714">
      <c r="E714" s="168"/>
    </row>
    <row r="715">
      <c r="E715" s="168"/>
    </row>
    <row r="716">
      <c r="E716" s="168"/>
    </row>
    <row r="717">
      <c r="E717" s="168"/>
    </row>
    <row r="718">
      <c r="E718" s="168"/>
    </row>
    <row r="719">
      <c r="E719" s="168"/>
    </row>
    <row r="720">
      <c r="E720" s="168"/>
    </row>
    <row r="721">
      <c r="E721" s="168"/>
    </row>
    <row r="722">
      <c r="E722" s="168"/>
    </row>
    <row r="723">
      <c r="E723" s="168"/>
    </row>
    <row r="724">
      <c r="E724" s="168"/>
    </row>
    <row r="725">
      <c r="E725" s="168"/>
    </row>
    <row r="726">
      <c r="E726" s="168"/>
    </row>
    <row r="727">
      <c r="E727" s="168"/>
    </row>
    <row r="728">
      <c r="E728" s="168"/>
    </row>
    <row r="729">
      <c r="E729" s="168"/>
    </row>
    <row r="730">
      <c r="E730" s="168"/>
    </row>
    <row r="731">
      <c r="E731" s="168"/>
    </row>
    <row r="732">
      <c r="E732" s="168"/>
    </row>
    <row r="733">
      <c r="E733" s="168"/>
    </row>
    <row r="734">
      <c r="E734" s="168"/>
    </row>
    <row r="735">
      <c r="E735" s="168"/>
    </row>
    <row r="736">
      <c r="E736" s="168"/>
    </row>
    <row r="737">
      <c r="E737" s="168"/>
    </row>
    <row r="738">
      <c r="E738" s="168"/>
    </row>
    <row r="739">
      <c r="E739" s="168"/>
    </row>
    <row r="740">
      <c r="E740" s="168"/>
    </row>
    <row r="741">
      <c r="E741" s="168"/>
    </row>
    <row r="742">
      <c r="E742" s="168"/>
    </row>
    <row r="743">
      <c r="E743" s="168"/>
    </row>
    <row r="744">
      <c r="E744" s="168"/>
    </row>
    <row r="745">
      <c r="E745" s="168"/>
    </row>
    <row r="746">
      <c r="E746" s="168"/>
    </row>
    <row r="747">
      <c r="E747" s="168"/>
    </row>
    <row r="748">
      <c r="E748" s="168"/>
    </row>
    <row r="749">
      <c r="E749" s="168"/>
    </row>
    <row r="750">
      <c r="E750" s="168"/>
    </row>
    <row r="751">
      <c r="E751" s="168"/>
    </row>
    <row r="752">
      <c r="E752" s="168"/>
    </row>
    <row r="753">
      <c r="E753" s="168"/>
    </row>
    <row r="754">
      <c r="E754" s="168"/>
    </row>
    <row r="755">
      <c r="E755" s="168"/>
    </row>
    <row r="756">
      <c r="E756" s="168"/>
    </row>
    <row r="757">
      <c r="E757" s="168"/>
    </row>
    <row r="758">
      <c r="E758" s="168"/>
    </row>
    <row r="759">
      <c r="E759" s="168"/>
    </row>
    <row r="760">
      <c r="E760" s="168"/>
    </row>
    <row r="761">
      <c r="E761" s="168"/>
    </row>
    <row r="762">
      <c r="E762" s="168"/>
    </row>
    <row r="763">
      <c r="E763" s="168"/>
    </row>
    <row r="764">
      <c r="E764" s="168"/>
    </row>
    <row r="765">
      <c r="E765" s="168"/>
    </row>
    <row r="766">
      <c r="E766" s="168"/>
    </row>
    <row r="767">
      <c r="E767" s="168"/>
    </row>
    <row r="768">
      <c r="E768" s="168"/>
    </row>
    <row r="769">
      <c r="E769" s="168"/>
    </row>
    <row r="770">
      <c r="E770" s="168"/>
    </row>
    <row r="771">
      <c r="E771" s="168"/>
    </row>
    <row r="772">
      <c r="E772" s="168"/>
    </row>
    <row r="773">
      <c r="E773" s="168"/>
    </row>
    <row r="774">
      <c r="E774" s="168"/>
    </row>
    <row r="775">
      <c r="E775" s="168"/>
    </row>
    <row r="776">
      <c r="E776" s="168"/>
    </row>
    <row r="777">
      <c r="E777" s="168"/>
    </row>
    <row r="778">
      <c r="E778" s="168"/>
    </row>
    <row r="779">
      <c r="E779" s="168"/>
    </row>
    <row r="780">
      <c r="E780" s="168"/>
    </row>
    <row r="781">
      <c r="E781" s="168"/>
    </row>
    <row r="782">
      <c r="E782" s="168"/>
    </row>
    <row r="783">
      <c r="E783" s="168"/>
    </row>
    <row r="784">
      <c r="E784" s="168"/>
    </row>
    <row r="785">
      <c r="E785" s="168"/>
    </row>
    <row r="786">
      <c r="E786" s="168"/>
    </row>
    <row r="787">
      <c r="E787" s="168"/>
    </row>
    <row r="788">
      <c r="E788" s="168"/>
    </row>
    <row r="789">
      <c r="E789" s="168"/>
    </row>
    <row r="790">
      <c r="E790" s="168"/>
    </row>
    <row r="791">
      <c r="E791" s="168"/>
    </row>
    <row r="792">
      <c r="E792" s="168"/>
    </row>
    <row r="793">
      <c r="E793" s="168"/>
    </row>
    <row r="794">
      <c r="E794" s="168"/>
    </row>
    <row r="795">
      <c r="E795" s="168"/>
    </row>
    <row r="796">
      <c r="E796" s="168"/>
    </row>
    <row r="797">
      <c r="E797" s="168"/>
    </row>
    <row r="798">
      <c r="E798" s="168"/>
    </row>
    <row r="799">
      <c r="E799" s="168"/>
    </row>
    <row r="800">
      <c r="E800" s="168"/>
    </row>
    <row r="801">
      <c r="E801" s="168"/>
    </row>
    <row r="802">
      <c r="E802" s="168"/>
    </row>
    <row r="803">
      <c r="E803" s="168"/>
    </row>
    <row r="804">
      <c r="E804" s="168"/>
    </row>
    <row r="805">
      <c r="E805" s="168"/>
    </row>
    <row r="806">
      <c r="E806" s="168"/>
    </row>
    <row r="807">
      <c r="E807" s="168"/>
    </row>
    <row r="808">
      <c r="E808" s="168"/>
    </row>
    <row r="809">
      <c r="E809" s="168"/>
    </row>
    <row r="810">
      <c r="E810" s="168"/>
    </row>
    <row r="811">
      <c r="E811" s="168"/>
    </row>
    <row r="812">
      <c r="E812" s="168"/>
    </row>
    <row r="813">
      <c r="E813" s="168"/>
    </row>
    <row r="814">
      <c r="E814" s="168"/>
    </row>
    <row r="815">
      <c r="E815" s="168"/>
    </row>
    <row r="816">
      <c r="E816" s="168"/>
    </row>
    <row r="817">
      <c r="E817" s="168"/>
    </row>
    <row r="818">
      <c r="E818" s="168"/>
    </row>
    <row r="819">
      <c r="E819" s="168"/>
    </row>
    <row r="820">
      <c r="E820" s="168"/>
    </row>
    <row r="821">
      <c r="E821" s="168"/>
    </row>
    <row r="822">
      <c r="E822" s="168"/>
    </row>
    <row r="823">
      <c r="E823" s="168"/>
    </row>
    <row r="824">
      <c r="E824" s="168"/>
    </row>
    <row r="825">
      <c r="E825" s="168"/>
    </row>
    <row r="826">
      <c r="E826" s="168"/>
    </row>
    <row r="827">
      <c r="E827" s="168"/>
    </row>
    <row r="828">
      <c r="E828" s="168"/>
    </row>
    <row r="829">
      <c r="E829" s="168"/>
    </row>
    <row r="830">
      <c r="E830" s="168"/>
    </row>
    <row r="831">
      <c r="E831" s="168"/>
    </row>
    <row r="832">
      <c r="E832" s="168"/>
    </row>
    <row r="833">
      <c r="E833" s="168"/>
    </row>
    <row r="834">
      <c r="E834" s="168"/>
    </row>
    <row r="835">
      <c r="E835" s="168"/>
    </row>
    <row r="836">
      <c r="E836" s="168"/>
    </row>
    <row r="837">
      <c r="E837" s="168"/>
    </row>
    <row r="838">
      <c r="E838" s="168"/>
    </row>
    <row r="839">
      <c r="E839" s="168"/>
    </row>
    <row r="840">
      <c r="E840" s="168"/>
    </row>
    <row r="841">
      <c r="E841" s="168"/>
    </row>
    <row r="842">
      <c r="E842" s="168"/>
    </row>
    <row r="843">
      <c r="E843" s="168"/>
    </row>
    <row r="844">
      <c r="E844" s="168"/>
    </row>
    <row r="845">
      <c r="E845" s="168"/>
    </row>
    <row r="846">
      <c r="E846" s="168"/>
    </row>
    <row r="847">
      <c r="E847" s="168"/>
    </row>
    <row r="848">
      <c r="E848" s="168"/>
    </row>
    <row r="849">
      <c r="E849" s="168"/>
    </row>
    <row r="850">
      <c r="E850" s="168"/>
    </row>
    <row r="851">
      <c r="E851" s="168"/>
    </row>
    <row r="852">
      <c r="E852" s="168"/>
    </row>
    <row r="853">
      <c r="E853" s="168"/>
    </row>
    <row r="854">
      <c r="E854" s="168"/>
    </row>
    <row r="855">
      <c r="E855" s="168"/>
    </row>
    <row r="856">
      <c r="E856" s="168"/>
    </row>
    <row r="857">
      <c r="E857" s="168"/>
    </row>
    <row r="858">
      <c r="E858" s="168"/>
    </row>
    <row r="859">
      <c r="E859" s="168"/>
    </row>
    <row r="860">
      <c r="E860" s="168"/>
    </row>
    <row r="861">
      <c r="E861" s="168"/>
    </row>
    <row r="862">
      <c r="E862" s="168"/>
    </row>
    <row r="863">
      <c r="E863" s="168"/>
    </row>
    <row r="864">
      <c r="E864" s="168"/>
    </row>
    <row r="865">
      <c r="E865" s="168"/>
    </row>
    <row r="866">
      <c r="E866" s="168"/>
    </row>
    <row r="867">
      <c r="E867" s="168"/>
    </row>
    <row r="868">
      <c r="E868" s="168"/>
    </row>
    <row r="869">
      <c r="E869" s="168"/>
    </row>
    <row r="870">
      <c r="E870" s="168"/>
    </row>
    <row r="871">
      <c r="E871" s="168"/>
    </row>
    <row r="872">
      <c r="E872" s="168"/>
    </row>
    <row r="873">
      <c r="E873" s="168"/>
    </row>
    <row r="874">
      <c r="E874" s="168"/>
    </row>
    <row r="875">
      <c r="E875" s="168"/>
    </row>
    <row r="876">
      <c r="E876" s="168"/>
    </row>
    <row r="877">
      <c r="E877" s="168"/>
    </row>
    <row r="878">
      <c r="E878" s="168"/>
    </row>
    <row r="879">
      <c r="E879" s="168"/>
    </row>
    <row r="880">
      <c r="E880" s="168"/>
    </row>
    <row r="881">
      <c r="E881" s="168"/>
    </row>
    <row r="882">
      <c r="E882" s="168"/>
    </row>
    <row r="883">
      <c r="E883" s="168"/>
    </row>
    <row r="884">
      <c r="E884" s="168"/>
    </row>
    <row r="885">
      <c r="E885" s="168"/>
    </row>
    <row r="886">
      <c r="E886" s="168"/>
    </row>
    <row r="887">
      <c r="E887" s="168"/>
    </row>
    <row r="888">
      <c r="E888" s="168"/>
    </row>
    <row r="889">
      <c r="E889" s="168"/>
    </row>
    <row r="890">
      <c r="E890" s="168"/>
    </row>
    <row r="891">
      <c r="E891" s="168"/>
    </row>
    <row r="892">
      <c r="E892" s="168"/>
    </row>
    <row r="893">
      <c r="E893" s="168"/>
    </row>
    <row r="894">
      <c r="E894" s="168"/>
    </row>
    <row r="895">
      <c r="E895" s="168"/>
    </row>
    <row r="896">
      <c r="E896" s="168"/>
    </row>
    <row r="897">
      <c r="E897" s="168"/>
    </row>
    <row r="898">
      <c r="E898" s="168"/>
    </row>
    <row r="899">
      <c r="E899" s="168"/>
    </row>
    <row r="900">
      <c r="E900" s="168"/>
    </row>
    <row r="901">
      <c r="E901" s="168"/>
    </row>
    <row r="902">
      <c r="E902" s="168"/>
    </row>
    <row r="903">
      <c r="E903" s="168"/>
    </row>
    <row r="904">
      <c r="E904" s="168"/>
    </row>
    <row r="905">
      <c r="E905" s="168"/>
    </row>
    <row r="906">
      <c r="E906" s="168"/>
    </row>
    <row r="907">
      <c r="E907" s="168"/>
    </row>
    <row r="908">
      <c r="E908" s="168"/>
    </row>
    <row r="909">
      <c r="E909" s="168"/>
    </row>
    <row r="910">
      <c r="E910" s="168"/>
    </row>
    <row r="911">
      <c r="E911" s="168"/>
    </row>
    <row r="912">
      <c r="E912" s="168"/>
    </row>
    <row r="913">
      <c r="E913" s="168"/>
    </row>
    <row r="914">
      <c r="E914" s="168"/>
    </row>
    <row r="915">
      <c r="E915" s="168"/>
    </row>
    <row r="916">
      <c r="E916" s="168"/>
    </row>
    <row r="917">
      <c r="E917" s="168"/>
    </row>
    <row r="918">
      <c r="E918" s="168"/>
    </row>
    <row r="919">
      <c r="E919" s="168"/>
    </row>
    <row r="920">
      <c r="E920" s="168"/>
    </row>
    <row r="921">
      <c r="E921" s="168"/>
    </row>
    <row r="922">
      <c r="E922" s="168"/>
    </row>
    <row r="923">
      <c r="E923" s="168"/>
    </row>
    <row r="924">
      <c r="E924" s="168"/>
    </row>
    <row r="925">
      <c r="E925" s="168"/>
    </row>
    <row r="926">
      <c r="E926" s="168"/>
    </row>
    <row r="927">
      <c r="E927" s="168"/>
    </row>
    <row r="928">
      <c r="E928" s="168"/>
    </row>
    <row r="929">
      <c r="E929" s="168"/>
    </row>
    <row r="930">
      <c r="E930" s="168"/>
    </row>
    <row r="931">
      <c r="E931" s="168"/>
    </row>
    <row r="932">
      <c r="E932" s="168"/>
    </row>
    <row r="933">
      <c r="E933" s="168"/>
    </row>
    <row r="934">
      <c r="E934" s="168"/>
    </row>
    <row r="935">
      <c r="E935" s="168"/>
    </row>
    <row r="936">
      <c r="E936" s="168"/>
    </row>
    <row r="937">
      <c r="E937" s="168"/>
    </row>
    <row r="938">
      <c r="E938" s="168"/>
    </row>
    <row r="939">
      <c r="E939" s="168"/>
    </row>
    <row r="940">
      <c r="E940" s="168"/>
    </row>
    <row r="941">
      <c r="E941" s="168"/>
    </row>
    <row r="942">
      <c r="E942" s="168"/>
    </row>
    <row r="943">
      <c r="E943" s="168"/>
    </row>
    <row r="944">
      <c r="E944" s="168"/>
    </row>
    <row r="945">
      <c r="E945" s="168"/>
    </row>
    <row r="946">
      <c r="E946" s="168"/>
    </row>
    <row r="947">
      <c r="E947" s="168"/>
    </row>
    <row r="948">
      <c r="E948" s="168"/>
    </row>
    <row r="949">
      <c r="E949" s="168"/>
    </row>
    <row r="950">
      <c r="E950" s="168"/>
    </row>
    <row r="951">
      <c r="E951" s="168"/>
    </row>
    <row r="952">
      <c r="E952" s="168"/>
    </row>
    <row r="953">
      <c r="E953" s="168"/>
    </row>
    <row r="954">
      <c r="E954" s="168"/>
    </row>
    <row r="955">
      <c r="E955" s="168"/>
    </row>
    <row r="956">
      <c r="E956" s="168"/>
    </row>
    <row r="957">
      <c r="E957" s="168"/>
    </row>
    <row r="958">
      <c r="E958" s="168"/>
    </row>
    <row r="959">
      <c r="E959" s="168"/>
    </row>
    <row r="960">
      <c r="E960" s="168"/>
    </row>
    <row r="961">
      <c r="E961" s="168"/>
    </row>
    <row r="962">
      <c r="E962" s="168"/>
    </row>
    <row r="963">
      <c r="E963" s="168"/>
    </row>
    <row r="964">
      <c r="E964" s="168"/>
    </row>
    <row r="965">
      <c r="E965" s="168"/>
    </row>
    <row r="966">
      <c r="E966" s="168"/>
    </row>
    <row r="967">
      <c r="E967" s="168"/>
    </row>
    <row r="968">
      <c r="E968" s="168"/>
    </row>
    <row r="969">
      <c r="E969" s="168"/>
    </row>
    <row r="970">
      <c r="E970" s="168"/>
    </row>
    <row r="971">
      <c r="E971" s="168"/>
    </row>
    <row r="972">
      <c r="E972" s="168"/>
    </row>
    <row r="973">
      <c r="E973" s="168"/>
    </row>
    <row r="974">
      <c r="E974" s="168"/>
    </row>
    <row r="975">
      <c r="E975" s="168"/>
    </row>
    <row r="976">
      <c r="E976" s="168"/>
    </row>
    <row r="977">
      <c r="E977" s="168"/>
    </row>
    <row r="978">
      <c r="E978" s="168"/>
    </row>
    <row r="979">
      <c r="E979" s="168"/>
    </row>
    <row r="980">
      <c r="E980" s="168"/>
    </row>
    <row r="981">
      <c r="E981" s="168"/>
    </row>
    <row r="982">
      <c r="E982" s="168"/>
    </row>
    <row r="983">
      <c r="E983" s="168"/>
    </row>
    <row r="984">
      <c r="E984" s="168"/>
    </row>
    <row r="985">
      <c r="E985" s="168"/>
    </row>
    <row r="986">
      <c r="E986" s="168"/>
    </row>
    <row r="987">
      <c r="E987" s="168"/>
    </row>
    <row r="988">
      <c r="E988" s="168"/>
    </row>
    <row r="989">
      <c r="E989" s="168"/>
    </row>
    <row r="990">
      <c r="E990" s="168"/>
    </row>
    <row r="991">
      <c r="E991" s="168"/>
    </row>
    <row r="992">
      <c r="E992" s="168"/>
    </row>
    <row r="993">
      <c r="E993" s="168"/>
    </row>
    <row r="994">
      <c r="E994" s="168"/>
    </row>
    <row r="995">
      <c r="E995" s="168"/>
    </row>
    <row r="996">
      <c r="E996" s="168"/>
    </row>
    <row r="997">
      <c r="E997" s="168"/>
    </row>
    <row r="998">
      <c r="E998" s="168"/>
    </row>
    <row r="999">
      <c r="E999" s="168"/>
    </row>
    <row r="1000">
      <c r="E1000" s="168"/>
    </row>
  </sheetData>
  <mergeCells count="6">
    <mergeCell ref="B3:C3"/>
    <mergeCell ref="D3:F3"/>
    <mergeCell ref="B4:C4"/>
    <mergeCell ref="D4:F4"/>
    <mergeCell ref="B5:C5"/>
    <mergeCell ref="D5:F5"/>
  </mergeCells>
  <hyperlinks>
    <hyperlink r:id="rId1" ref="D5"/>
    <hyperlink display="Booking Flow TestCase" location="'Booking Flow TestCase'!A1" ref="D9"/>
    <hyperlink display="Ordering Flow TestCase" location="'Creating Order Flow TestCase'!A1" ref="D10"/>
    <hyperlink display="CCreating Order Flow TestCase" location="'Customer Checkout Flow TestCase'!A1" ref="D11"/>
  </hyperlinks>
  <printOptions/>
  <pageMargins bottom="1.15069444444444" footer="0.0" header="0.0" left="0.747916666666667" right="0.747916666666667" top="0.984027777777778"/>
  <pageSetup paperSize="9" orientation="landscape"/>
  <headerFooter>
    <oddFooter>&amp;L 02ae-BM/PM/HDCV/FSOFT v2/0&amp;CInternal use&amp;R&amp;P/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"/>
      <c r="B1" s="3" t="s">
        <v>0</v>
      </c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2"/>
      <c r="B2" s="12"/>
      <c r="C2" s="1"/>
      <c r="D2" s="1"/>
      <c r="E2" s="1"/>
      <c r="F2" s="1"/>
      <c r="G2" s="1"/>
      <c r="H2" s="1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24" t="s">
        <v>4</v>
      </c>
      <c r="C3" s="28" t="s">
        <v>6</v>
      </c>
      <c r="D3" s="15"/>
      <c r="E3" s="30" t="s">
        <v>7</v>
      </c>
      <c r="F3" s="15"/>
      <c r="G3" s="32"/>
      <c r="H3" s="34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24" t="s">
        <v>9</v>
      </c>
      <c r="C4" s="28" t="s">
        <v>10</v>
      </c>
      <c r="D4" s="15"/>
      <c r="E4" s="30" t="s">
        <v>12</v>
      </c>
      <c r="F4" s="15"/>
      <c r="G4" s="32"/>
      <c r="H4" s="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46" t="s">
        <v>13</v>
      </c>
      <c r="C5" s="28" t="s">
        <v>14</v>
      </c>
      <c r="D5" s="15"/>
      <c r="E5" s="30" t="s">
        <v>11</v>
      </c>
      <c r="F5" s="15"/>
      <c r="G5" s="32"/>
      <c r="H5" s="48">
        <v>46228.0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2"/>
      <c r="B6" s="46" t="s">
        <v>23</v>
      </c>
      <c r="C6" s="55" t="s">
        <v>24</v>
      </c>
      <c r="D6" s="14"/>
      <c r="E6" s="14"/>
      <c r="F6" s="14"/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2"/>
      <c r="B7" s="61"/>
      <c r="C7" s="62"/>
      <c r="D7" s="1"/>
      <c r="E7" s="1"/>
      <c r="F7" s="1"/>
      <c r="G7" s="1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1"/>
      <c r="C8" s="62"/>
      <c r="D8" s="1"/>
      <c r="E8" s="1"/>
      <c r="F8" s="1"/>
      <c r="G8" s="1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88"/>
      <c r="B10" s="90" t="s">
        <v>37</v>
      </c>
      <c r="C10" s="92" t="s">
        <v>46</v>
      </c>
      <c r="D10" s="93" t="s">
        <v>17</v>
      </c>
      <c r="E10" s="92" t="s">
        <v>30</v>
      </c>
      <c r="F10" s="92" t="s">
        <v>39</v>
      </c>
      <c r="G10" s="95" t="s">
        <v>44</v>
      </c>
      <c r="H10" s="96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88"/>
      <c r="B11" s="104">
        <v>1.0</v>
      </c>
      <c r="C11" s="106" t="str">
        <f>'Booking Flow TestCase'!B2</f>
        <v>Booking WorkFlow</v>
      </c>
      <c r="D11" s="108">
        <f>'Booking Flow TestCase'!B6</f>
        <v>17</v>
      </c>
      <c r="E11" s="108">
        <f>'Booking Flow TestCase'!C6</f>
        <v>0</v>
      </c>
      <c r="F11" s="108">
        <f>'Booking Flow TestCase'!D6</f>
        <v>0</v>
      </c>
      <c r="G11" s="108">
        <f>'Booking Flow TestCase'!E6</f>
        <v>0</v>
      </c>
      <c r="H11" s="111">
        <f>'Booking Flow TestCase'!B4</f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88"/>
      <c r="B12" s="104">
        <v>2.0</v>
      </c>
      <c r="C12" s="106" t="str">
        <f>'Creating Order Flow TestCase'!B2</f>
        <v>Creating Order Workflow</v>
      </c>
      <c r="D12" s="108">
        <f>'Creating Order Flow TestCase'!B6</f>
        <v>13</v>
      </c>
      <c r="E12" s="108">
        <f>'Creating Order Flow TestCase'!C6</f>
        <v>0</v>
      </c>
      <c r="F12" s="108">
        <f>'Creating Order Flow TestCase'!D6</f>
        <v>0</v>
      </c>
      <c r="G12" s="108">
        <f>'Creating Order Flow TestCase'!E6</f>
        <v>0</v>
      </c>
      <c r="H12" s="115">
        <f>'Creating Order Flow TestCase'!B4</f>
        <v>13</v>
      </c>
      <c r="I12" s="1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88"/>
      <c r="B13" s="120">
        <v>3.0</v>
      </c>
      <c r="C13" s="122" t="s">
        <v>57</v>
      </c>
      <c r="D13" s="108">
        <f>'Customer Checkout Flow TestCase'!B6</f>
        <v>19</v>
      </c>
      <c r="E13" s="108">
        <f>'Customer Checkout Flow TestCase'!C6</f>
        <v>0</v>
      </c>
      <c r="F13" s="108">
        <f>'Customer Checkout Flow TestCase'!D6</f>
        <v>0</v>
      </c>
      <c r="G13" s="108">
        <f>'Customer Checkout Flow TestCase'!E6</f>
        <v>0</v>
      </c>
      <c r="H13" s="111">
        <f>'Customer Checkout Flow TestCase'!B4</f>
        <v>19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88"/>
      <c r="B14" s="125"/>
      <c r="C14" s="126" t="s">
        <v>62</v>
      </c>
      <c r="D14" s="127">
        <f t="shared" ref="D14:H14" si="1">SUM(D9:D13)</f>
        <v>49</v>
      </c>
      <c r="E14" s="127">
        <f t="shared" si="1"/>
        <v>0</v>
      </c>
      <c r="F14" s="127">
        <f t="shared" si="1"/>
        <v>0</v>
      </c>
      <c r="G14" s="127">
        <f t="shared" si="1"/>
        <v>0</v>
      </c>
      <c r="H14" s="129">
        <f t="shared" si="1"/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1"/>
      <c r="C15" s="1"/>
      <c r="D15" s="132"/>
      <c r="E15" s="133"/>
      <c r="F15" s="133"/>
      <c r="G15" s="133"/>
      <c r="H15" s="13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21" t="s">
        <v>72</v>
      </c>
      <c r="D16" s="1"/>
      <c r="E16" s="141">
        <f>(D14+E14)*100/(H14-G14)</f>
        <v>100</v>
      </c>
      <c r="F16" s="1" t="s">
        <v>79</v>
      </c>
      <c r="G16" s="1"/>
      <c r="H16" s="14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21" t="s">
        <v>86</v>
      </c>
      <c r="D17" s="1"/>
      <c r="E17" s="141">
        <f>D14*100/(H14-G14)</f>
        <v>100</v>
      </c>
      <c r="F17" s="1" t="s">
        <v>79</v>
      </c>
      <c r="G17" s="1"/>
      <c r="H17" s="14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8" footer="0.0" header="0.0" left="0.747916666666667" right="0.747916666666667" top="0.98402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6.0"/>
    <col customWidth="1" min="2" max="2" width="49.5"/>
    <col customWidth="1" min="3" max="3" width="53.13"/>
    <col customWidth="1" min="4" max="4" width="35.63"/>
    <col customWidth="1" min="5" max="5" width="31.0"/>
    <col customWidth="1" min="6" max="6" width="8.63"/>
    <col customWidth="1" min="7" max="7" width="10.25" outlineLevel="1"/>
    <col customWidth="1" min="8" max="8" width="10.38" outlineLevel="1"/>
    <col customWidth="1" min="9" max="9" width="8.63"/>
    <col customWidth="1" min="10" max="10" width="10.25" outlineLevel="1"/>
    <col customWidth="1" min="11" max="11" width="8.0" outlineLevel="1"/>
    <col customWidth="1" min="12" max="12" width="8.63"/>
    <col customWidth="1" min="13" max="13" width="10.25" outlineLevel="1"/>
    <col customWidth="1" min="14" max="14" width="9.25" outlineLevel="1"/>
    <col customWidth="1" min="15" max="15" width="5.0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  <c r="T1" s="8"/>
      <c r="U1" s="8"/>
      <c r="V1" s="8"/>
      <c r="W1" s="8"/>
      <c r="X1" s="8"/>
      <c r="Y1" s="8"/>
      <c r="Z1" s="8"/>
    </row>
    <row r="2">
      <c r="A2" s="23" t="s">
        <v>3</v>
      </c>
      <c r="B2" s="25" t="s">
        <v>5</v>
      </c>
      <c r="C2" s="26"/>
      <c r="D2" s="26"/>
      <c r="E2" s="27"/>
      <c r="F2" s="29"/>
      <c r="G2" s="37"/>
      <c r="H2" s="8"/>
      <c r="I2" s="29"/>
      <c r="J2" s="37"/>
      <c r="K2" s="8"/>
      <c r="L2" s="29"/>
      <c r="M2" s="37"/>
      <c r="N2" s="8"/>
      <c r="O2" s="8"/>
      <c r="P2" s="8"/>
      <c r="Q2" s="18"/>
      <c r="R2" s="47" t="s">
        <v>17</v>
      </c>
      <c r="S2" s="47"/>
      <c r="T2" s="47"/>
      <c r="U2" s="47"/>
      <c r="V2" s="47"/>
      <c r="W2" s="47"/>
      <c r="X2" s="47"/>
      <c r="Y2" s="47"/>
      <c r="Z2" s="47"/>
    </row>
    <row r="3">
      <c r="A3" s="52" t="s">
        <v>20</v>
      </c>
      <c r="B3" s="53" t="s">
        <v>22</v>
      </c>
      <c r="C3" s="14"/>
      <c r="D3" s="14"/>
      <c r="E3" s="54"/>
      <c r="F3" s="29"/>
      <c r="G3" s="37"/>
      <c r="H3" s="8"/>
      <c r="I3" s="29"/>
      <c r="J3" s="37"/>
      <c r="K3" s="8"/>
      <c r="L3" s="29"/>
      <c r="M3" s="37"/>
      <c r="N3" s="8"/>
      <c r="O3" s="8"/>
      <c r="P3" s="8"/>
      <c r="Q3" s="18"/>
      <c r="R3" s="47" t="s">
        <v>30</v>
      </c>
      <c r="S3" s="47"/>
      <c r="T3" s="47"/>
      <c r="U3" s="47"/>
      <c r="V3" s="47"/>
      <c r="W3" s="47"/>
      <c r="X3" s="47"/>
      <c r="Y3" s="47"/>
      <c r="Z3" s="47"/>
    </row>
    <row r="4">
      <c r="A4" s="52" t="s">
        <v>31</v>
      </c>
      <c r="B4" s="71">
        <f>SUMPRODUCT(--(LEFT(A12:A33,3)="TC_"))</f>
        <v>17</v>
      </c>
      <c r="C4" s="14"/>
      <c r="D4" s="14"/>
      <c r="E4" s="54"/>
      <c r="F4" s="29"/>
      <c r="G4" s="37"/>
      <c r="H4" s="8"/>
      <c r="I4" s="29"/>
      <c r="J4" s="37"/>
      <c r="K4" s="8"/>
      <c r="L4" s="29"/>
      <c r="M4" s="37"/>
      <c r="N4" s="8"/>
      <c r="O4" s="8"/>
      <c r="P4" s="8"/>
      <c r="Q4" s="18"/>
      <c r="R4" s="47" t="s">
        <v>39</v>
      </c>
      <c r="S4" s="47"/>
      <c r="T4" s="47"/>
      <c r="U4" s="47"/>
      <c r="V4" s="47"/>
      <c r="W4" s="47"/>
      <c r="X4" s="47"/>
      <c r="Y4" s="47"/>
      <c r="Z4" s="47"/>
    </row>
    <row r="5">
      <c r="A5" s="83" t="s">
        <v>43</v>
      </c>
      <c r="B5" s="84" t="s">
        <v>17</v>
      </c>
      <c r="C5" s="84" t="s">
        <v>30</v>
      </c>
      <c r="D5" s="84" t="s">
        <v>39</v>
      </c>
      <c r="E5" s="85" t="s">
        <v>44</v>
      </c>
      <c r="F5" s="86"/>
      <c r="G5" s="86"/>
      <c r="H5" s="87"/>
      <c r="I5" s="86"/>
      <c r="J5" s="86"/>
      <c r="K5" s="87"/>
      <c r="L5" s="86"/>
      <c r="M5" s="86"/>
      <c r="N5" s="87"/>
      <c r="O5" s="87"/>
      <c r="P5" s="87"/>
      <c r="Q5" s="94"/>
      <c r="R5" s="47" t="s">
        <v>44</v>
      </c>
      <c r="S5" s="47"/>
      <c r="T5" s="47"/>
      <c r="U5" s="47"/>
      <c r="V5" s="47"/>
      <c r="W5" s="47"/>
      <c r="X5" s="47"/>
      <c r="Y5" s="47"/>
      <c r="Z5" s="47"/>
    </row>
    <row r="6">
      <c r="A6" s="83" t="s">
        <v>51</v>
      </c>
      <c r="B6" s="105">
        <f>COUNTIF($F12:$F33,B5)</f>
        <v>17</v>
      </c>
      <c r="C6" s="105">
        <f t="shared" ref="C6:E6" si="1">COUNTIF($F12:$F29,C5)</f>
        <v>0</v>
      </c>
      <c r="D6" s="105">
        <f t="shared" si="1"/>
        <v>0</v>
      </c>
      <c r="E6" s="107">
        <f t="shared" si="1"/>
        <v>0</v>
      </c>
      <c r="F6" s="109"/>
      <c r="G6" s="109"/>
      <c r="H6" s="87"/>
      <c r="I6" s="109"/>
      <c r="J6" s="109"/>
      <c r="K6" s="87"/>
      <c r="L6" s="109"/>
      <c r="M6" s="109"/>
      <c r="N6" s="87"/>
      <c r="O6" s="87"/>
      <c r="P6" s="87"/>
      <c r="Q6" s="94"/>
      <c r="R6" s="47"/>
      <c r="S6" s="47"/>
      <c r="T6" s="47"/>
      <c r="U6" s="47"/>
      <c r="V6" s="47"/>
      <c r="W6" s="47"/>
      <c r="X6" s="47"/>
      <c r="Y6" s="47"/>
      <c r="Z6" s="47"/>
    </row>
    <row r="7">
      <c r="A7" s="83" t="s">
        <v>56</v>
      </c>
      <c r="B7" s="105">
        <f>COUNTIF($I12:$I33,B5)</f>
        <v>17</v>
      </c>
      <c r="C7" s="105">
        <f t="shared" ref="C7:E7" si="2">COUNTIF($I12:$I29,C5)</f>
        <v>0</v>
      </c>
      <c r="D7" s="105">
        <f t="shared" si="2"/>
        <v>0</v>
      </c>
      <c r="E7" s="107">
        <f t="shared" si="2"/>
        <v>0</v>
      </c>
      <c r="F7" s="109"/>
      <c r="G7" s="109"/>
      <c r="H7" s="87"/>
      <c r="I7" s="109"/>
      <c r="J7" s="109"/>
      <c r="K7" s="87"/>
      <c r="L7" s="109"/>
      <c r="M7" s="109"/>
      <c r="N7" s="87"/>
      <c r="O7" s="87"/>
      <c r="P7" s="87"/>
      <c r="Q7" s="94"/>
      <c r="R7" s="47"/>
      <c r="S7" s="47"/>
      <c r="T7" s="47"/>
      <c r="U7" s="47"/>
      <c r="V7" s="47"/>
      <c r="W7" s="47"/>
      <c r="X7" s="47"/>
      <c r="Y7" s="47"/>
      <c r="Z7" s="47"/>
    </row>
    <row r="8">
      <c r="A8" s="113" t="s">
        <v>61</v>
      </c>
      <c r="B8" s="119">
        <f>COUNTIF($L12:$L33,B5)</f>
        <v>17</v>
      </c>
      <c r="C8" s="119">
        <f t="shared" ref="C8:E8" si="3">COUNTIF($L12:$L29,C5)</f>
        <v>0</v>
      </c>
      <c r="D8" s="119">
        <f t="shared" si="3"/>
        <v>0</v>
      </c>
      <c r="E8" s="121">
        <f t="shared" si="3"/>
        <v>0</v>
      </c>
      <c r="F8" s="109"/>
      <c r="G8" s="109"/>
      <c r="H8" s="87"/>
      <c r="I8" s="109"/>
      <c r="J8" s="109"/>
      <c r="K8" s="87"/>
      <c r="L8" s="109"/>
      <c r="M8" s="109"/>
      <c r="N8" s="87"/>
      <c r="O8" s="87"/>
      <c r="P8" s="87"/>
      <c r="Q8" s="94"/>
      <c r="R8" s="47"/>
      <c r="S8" s="47"/>
      <c r="T8" s="47"/>
      <c r="U8" s="47"/>
      <c r="V8" s="47"/>
      <c r="W8" s="47"/>
      <c r="X8" s="47"/>
      <c r="Y8" s="47"/>
      <c r="Z8" s="47"/>
    </row>
    <row r="9">
      <c r="A9" s="87"/>
      <c r="B9" s="87"/>
      <c r="C9" s="87"/>
      <c r="D9" s="87"/>
      <c r="E9" s="87"/>
      <c r="F9" s="109"/>
      <c r="G9" s="87"/>
      <c r="H9" s="87"/>
      <c r="I9" s="109"/>
      <c r="J9" s="87"/>
      <c r="K9" s="87"/>
      <c r="L9" s="109"/>
      <c r="M9" s="87"/>
      <c r="N9" s="87"/>
      <c r="O9" s="87"/>
      <c r="P9" s="87"/>
      <c r="Q9" s="94"/>
      <c r="R9" s="47"/>
      <c r="S9" s="47"/>
      <c r="T9" s="47"/>
      <c r="U9" s="47"/>
      <c r="V9" s="47"/>
      <c r="W9" s="47"/>
      <c r="X9" s="47"/>
      <c r="Y9" s="47"/>
      <c r="Z9" s="47"/>
    </row>
    <row r="10">
      <c r="A10" s="128" t="s">
        <v>63</v>
      </c>
      <c r="B10" s="128" t="s">
        <v>64</v>
      </c>
      <c r="C10" s="128" t="s">
        <v>65</v>
      </c>
      <c r="D10" s="128" t="s">
        <v>66</v>
      </c>
      <c r="E10" s="128" t="s">
        <v>67</v>
      </c>
      <c r="F10" s="128" t="s">
        <v>51</v>
      </c>
      <c r="G10" s="128" t="s">
        <v>68</v>
      </c>
      <c r="H10" s="128" t="s">
        <v>69</v>
      </c>
      <c r="I10" s="128" t="s">
        <v>56</v>
      </c>
      <c r="J10" s="128" t="s">
        <v>68</v>
      </c>
      <c r="K10" s="128" t="s">
        <v>69</v>
      </c>
      <c r="L10" s="128" t="s">
        <v>61</v>
      </c>
      <c r="M10" s="128" t="s">
        <v>68</v>
      </c>
      <c r="N10" s="128" t="s">
        <v>69</v>
      </c>
      <c r="O10" s="128" t="s">
        <v>70</v>
      </c>
      <c r="P10" s="47"/>
      <c r="Q10" s="130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34" t="s">
        <v>71</v>
      </c>
      <c r="B11" s="1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47"/>
      <c r="Q11" s="136"/>
      <c r="R11" s="47"/>
      <c r="S11" s="47"/>
      <c r="T11" s="47"/>
      <c r="U11" s="47"/>
      <c r="V11" s="47"/>
      <c r="W11" s="47"/>
      <c r="X11" s="47"/>
      <c r="Y11" s="47"/>
      <c r="Z11" s="47"/>
    </row>
    <row r="12" outlineLevel="1">
      <c r="A12" s="137" t="s">
        <v>73</v>
      </c>
      <c r="B12" s="138" t="s">
        <v>74</v>
      </c>
      <c r="C12" s="138" t="s">
        <v>75</v>
      </c>
      <c r="D12" s="138" t="s">
        <v>76</v>
      </c>
      <c r="E12" s="138" t="s">
        <v>77</v>
      </c>
      <c r="F12" s="139" t="s">
        <v>17</v>
      </c>
      <c r="G12" s="140">
        <v>46228.0</v>
      </c>
      <c r="H12" s="139" t="s">
        <v>78</v>
      </c>
      <c r="I12" s="139" t="s">
        <v>17</v>
      </c>
      <c r="J12" s="140">
        <v>46229.0</v>
      </c>
      <c r="K12" s="139" t="s">
        <v>80</v>
      </c>
      <c r="L12" s="139" t="s">
        <v>17</v>
      </c>
      <c r="M12" s="140">
        <v>46230.0</v>
      </c>
      <c r="N12" s="139" t="s">
        <v>78</v>
      </c>
      <c r="O12" s="143"/>
      <c r="P12" s="47"/>
      <c r="Q12" s="18"/>
      <c r="R12" s="47"/>
      <c r="S12" s="47"/>
      <c r="T12" s="47"/>
      <c r="U12" s="47"/>
      <c r="V12" s="47"/>
      <c r="W12" s="47"/>
      <c r="X12" s="47"/>
      <c r="Y12" s="47"/>
      <c r="Z12" s="47"/>
    </row>
    <row r="13" outlineLevel="1">
      <c r="A13" s="144" t="s">
        <v>81</v>
      </c>
      <c r="B13" s="145" t="s">
        <v>82</v>
      </c>
      <c r="C13" s="145" t="s">
        <v>83</v>
      </c>
      <c r="D13" s="145" t="s">
        <v>84</v>
      </c>
      <c r="E13" s="145" t="s">
        <v>85</v>
      </c>
      <c r="F13" s="139" t="s">
        <v>17</v>
      </c>
      <c r="G13" s="140">
        <v>46228.0</v>
      </c>
      <c r="H13" s="139" t="s">
        <v>78</v>
      </c>
      <c r="I13" s="139" t="s">
        <v>17</v>
      </c>
      <c r="J13" s="140">
        <v>46229.0</v>
      </c>
      <c r="K13" s="139" t="s">
        <v>80</v>
      </c>
      <c r="L13" s="139" t="s">
        <v>17</v>
      </c>
      <c r="M13" s="140">
        <v>46230.0</v>
      </c>
      <c r="N13" s="139" t="s">
        <v>78</v>
      </c>
      <c r="O13" s="143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37" t="s">
        <v>87</v>
      </c>
      <c r="B14" s="138" t="s">
        <v>88</v>
      </c>
      <c r="C14" s="138" t="s">
        <v>89</v>
      </c>
      <c r="D14" s="138" t="s">
        <v>90</v>
      </c>
      <c r="E14" s="138" t="s">
        <v>85</v>
      </c>
      <c r="F14" s="139" t="s">
        <v>17</v>
      </c>
      <c r="G14" s="140">
        <v>46228.0</v>
      </c>
      <c r="H14" s="139" t="s">
        <v>78</v>
      </c>
      <c r="I14" s="139" t="s">
        <v>17</v>
      </c>
      <c r="J14" s="140">
        <v>46229.0</v>
      </c>
      <c r="K14" s="139" t="s">
        <v>80</v>
      </c>
      <c r="L14" s="139" t="s">
        <v>17</v>
      </c>
      <c r="M14" s="140">
        <v>46230.0</v>
      </c>
      <c r="N14" s="139" t="s">
        <v>78</v>
      </c>
      <c r="O14" s="143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34" t="s">
        <v>91</v>
      </c>
      <c r="B15" s="14"/>
      <c r="C15" s="1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8"/>
      <c r="Q15" s="1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7" t="s">
        <v>92</v>
      </c>
      <c r="B16" s="138" t="s">
        <v>93</v>
      </c>
      <c r="C16" s="138" t="s">
        <v>94</v>
      </c>
      <c r="D16" s="138" t="s">
        <v>95</v>
      </c>
      <c r="E16" s="138" t="s">
        <v>96</v>
      </c>
      <c r="F16" s="139" t="s">
        <v>17</v>
      </c>
      <c r="G16" s="140">
        <v>46228.0</v>
      </c>
      <c r="H16" s="139" t="s">
        <v>78</v>
      </c>
      <c r="I16" s="139" t="s">
        <v>17</v>
      </c>
      <c r="J16" s="140">
        <v>46229.0</v>
      </c>
      <c r="K16" s="139" t="s">
        <v>80</v>
      </c>
      <c r="L16" s="139" t="s">
        <v>17</v>
      </c>
      <c r="M16" s="140">
        <v>46230.0</v>
      </c>
      <c r="N16" s="139" t="s">
        <v>78</v>
      </c>
      <c r="O16" s="143"/>
      <c r="P16" s="47"/>
      <c r="Q16" s="136"/>
      <c r="R16" s="47"/>
      <c r="S16" s="47"/>
      <c r="T16" s="47"/>
      <c r="U16" s="47"/>
      <c r="V16" s="47"/>
      <c r="W16" s="47"/>
      <c r="X16" s="47"/>
      <c r="Y16" s="47"/>
      <c r="Z16" s="47"/>
    </row>
    <row r="17" outlineLevel="1">
      <c r="A17" s="144" t="s">
        <v>97</v>
      </c>
      <c r="B17" s="145" t="s">
        <v>98</v>
      </c>
      <c r="C17" s="145" t="s">
        <v>99</v>
      </c>
      <c r="D17" s="145" t="s">
        <v>100</v>
      </c>
      <c r="E17" s="145" t="s">
        <v>101</v>
      </c>
      <c r="F17" s="139" t="s">
        <v>17</v>
      </c>
      <c r="G17" s="140">
        <v>46228.0</v>
      </c>
      <c r="H17" s="139" t="s">
        <v>78</v>
      </c>
      <c r="I17" s="139" t="s">
        <v>17</v>
      </c>
      <c r="J17" s="140">
        <v>46229.0</v>
      </c>
      <c r="K17" s="139" t="s">
        <v>80</v>
      </c>
      <c r="L17" s="139" t="s">
        <v>17</v>
      </c>
      <c r="M17" s="140">
        <v>46230.0</v>
      </c>
      <c r="N17" s="139" t="s">
        <v>78</v>
      </c>
      <c r="O17" s="143"/>
      <c r="P17" s="8"/>
      <c r="Q17" s="1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4" t="s">
        <v>102</v>
      </c>
      <c r="B18" s="14"/>
      <c r="C18" s="15"/>
      <c r="D18" s="135"/>
      <c r="E18" s="135"/>
      <c r="F18" s="152"/>
      <c r="G18" s="135"/>
      <c r="H18" s="135"/>
      <c r="I18" s="135"/>
      <c r="J18" s="135"/>
      <c r="K18" s="135"/>
      <c r="L18" s="135"/>
      <c r="M18" s="135"/>
      <c r="N18" s="135"/>
      <c r="O18" s="135"/>
      <c r="P18" s="8"/>
      <c r="Q18" s="1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4" t="s">
        <v>103</v>
      </c>
      <c r="B19" s="145" t="s">
        <v>104</v>
      </c>
      <c r="C19" s="145" t="s">
        <v>105</v>
      </c>
      <c r="D19" s="145" t="s">
        <v>106</v>
      </c>
      <c r="E19" s="145" t="s">
        <v>85</v>
      </c>
      <c r="F19" s="139" t="s">
        <v>17</v>
      </c>
      <c r="G19" s="140">
        <v>46228.0</v>
      </c>
      <c r="H19" s="139" t="s">
        <v>78</v>
      </c>
      <c r="I19" s="139" t="s">
        <v>17</v>
      </c>
      <c r="J19" s="140">
        <v>46229.0</v>
      </c>
      <c r="K19" s="139" t="s">
        <v>80</v>
      </c>
      <c r="L19" s="139" t="s">
        <v>17</v>
      </c>
      <c r="M19" s="140">
        <v>46230.0</v>
      </c>
      <c r="N19" s="139" t="s">
        <v>78</v>
      </c>
      <c r="O19" s="143"/>
      <c r="P19" s="8"/>
      <c r="Q19" s="1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7" t="s">
        <v>107</v>
      </c>
      <c r="B20" s="138" t="s">
        <v>108</v>
      </c>
      <c r="C20" s="138" t="s">
        <v>109</v>
      </c>
      <c r="D20" s="138" t="s">
        <v>110</v>
      </c>
      <c r="E20" s="138" t="s">
        <v>85</v>
      </c>
      <c r="F20" s="139" t="s">
        <v>17</v>
      </c>
      <c r="G20" s="140">
        <v>46228.0</v>
      </c>
      <c r="H20" s="139" t="s">
        <v>78</v>
      </c>
      <c r="I20" s="139" t="s">
        <v>17</v>
      </c>
      <c r="J20" s="140">
        <v>46229.0</v>
      </c>
      <c r="K20" s="139" t="s">
        <v>80</v>
      </c>
      <c r="L20" s="139" t="s">
        <v>17</v>
      </c>
      <c r="M20" s="140">
        <v>46230.0</v>
      </c>
      <c r="N20" s="139" t="s">
        <v>78</v>
      </c>
      <c r="O20" s="143"/>
      <c r="P20" s="8"/>
      <c r="Q20" s="1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4" t="s">
        <v>111</v>
      </c>
      <c r="B21" s="145" t="s">
        <v>112</v>
      </c>
      <c r="C21" s="145" t="s">
        <v>113</v>
      </c>
      <c r="D21" s="145" t="s">
        <v>114</v>
      </c>
      <c r="E21" s="145" t="s">
        <v>85</v>
      </c>
      <c r="F21" s="139" t="s">
        <v>17</v>
      </c>
      <c r="G21" s="140">
        <v>46228.0</v>
      </c>
      <c r="H21" s="139" t="s">
        <v>78</v>
      </c>
      <c r="I21" s="139" t="s">
        <v>17</v>
      </c>
      <c r="J21" s="140">
        <v>46229.0</v>
      </c>
      <c r="K21" s="139" t="s">
        <v>80</v>
      </c>
      <c r="L21" s="139" t="s">
        <v>17</v>
      </c>
      <c r="M21" s="140">
        <v>46230.0</v>
      </c>
      <c r="N21" s="139" t="s">
        <v>78</v>
      </c>
      <c r="O21" s="143"/>
      <c r="P21" s="8"/>
      <c r="Q21" s="1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4" t="s">
        <v>115</v>
      </c>
      <c r="B22" s="14"/>
      <c r="C22" s="15"/>
      <c r="D22" s="135"/>
      <c r="E22" s="135"/>
      <c r="F22" s="152"/>
      <c r="G22" s="135"/>
      <c r="H22" s="135"/>
      <c r="I22" s="135"/>
      <c r="J22" s="135"/>
      <c r="K22" s="135"/>
      <c r="L22" s="135"/>
      <c r="M22" s="135"/>
      <c r="N22" s="135"/>
      <c r="O22" s="135"/>
      <c r="P22" s="8"/>
      <c r="Q22" s="1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4" t="s">
        <v>116</v>
      </c>
      <c r="B23" s="145" t="s">
        <v>117</v>
      </c>
      <c r="C23" s="145" t="s">
        <v>118</v>
      </c>
      <c r="D23" s="145" t="s">
        <v>119</v>
      </c>
      <c r="E23" s="145" t="s">
        <v>120</v>
      </c>
      <c r="F23" s="139" t="s">
        <v>17</v>
      </c>
      <c r="G23" s="140">
        <v>46228.0</v>
      </c>
      <c r="H23" s="139" t="s">
        <v>78</v>
      </c>
      <c r="I23" s="139" t="s">
        <v>17</v>
      </c>
      <c r="J23" s="140">
        <v>46229.0</v>
      </c>
      <c r="K23" s="139" t="s">
        <v>80</v>
      </c>
      <c r="L23" s="139" t="s">
        <v>17</v>
      </c>
      <c r="M23" s="140">
        <v>46230.0</v>
      </c>
      <c r="N23" s="139" t="s">
        <v>78</v>
      </c>
      <c r="O23" s="143"/>
      <c r="P23" s="8"/>
      <c r="Q23" s="1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7" t="s">
        <v>121</v>
      </c>
      <c r="B24" s="138" t="s">
        <v>122</v>
      </c>
      <c r="C24" s="138" t="s">
        <v>123</v>
      </c>
      <c r="D24" s="138" t="s">
        <v>124</v>
      </c>
      <c r="E24" s="138" t="s">
        <v>125</v>
      </c>
      <c r="F24" s="139" t="s">
        <v>17</v>
      </c>
      <c r="G24" s="140">
        <v>46228.0</v>
      </c>
      <c r="H24" s="139" t="s">
        <v>78</v>
      </c>
      <c r="I24" s="139" t="s">
        <v>17</v>
      </c>
      <c r="J24" s="140">
        <v>46229.0</v>
      </c>
      <c r="K24" s="139" t="s">
        <v>80</v>
      </c>
      <c r="L24" s="139" t="s">
        <v>17</v>
      </c>
      <c r="M24" s="140">
        <v>46230.0</v>
      </c>
      <c r="N24" s="139" t="s">
        <v>78</v>
      </c>
      <c r="O24" s="143"/>
      <c r="P24" s="8"/>
      <c r="Q24" s="1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4" t="s">
        <v>126</v>
      </c>
      <c r="B25" s="145" t="s">
        <v>127</v>
      </c>
      <c r="C25" s="145" t="s">
        <v>128</v>
      </c>
      <c r="D25" s="145" t="s">
        <v>129</v>
      </c>
      <c r="E25" s="145" t="s">
        <v>130</v>
      </c>
      <c r="F25" s="139" t="s">
        <v>17</v>
      </c>
      <c r="G25" s="140">
        <v>46228.0</v>
      </c>
      <c r="H25" s="139" t="s">
        <v>78</v>
      </c>
      <c r="I25" s="139" t="s">
        <v>17</v>
      </c>
      <c r="J25" s="140">
        <v>46229.0</v>
      </c>
      <c r="K25" s="139" t="s">
        <v>80</v>
      </c>
      <c r="L25" s="139" t="s">
        <v>17</v>
      </c>
      <c r="M25" s="140">
        <v>46230.0</v>
      </c>
      <c r="N25" s="139" t="s">
        <v>78</v>
      </c>
      <c r="O25" s="143"/>
      <c r="P25" s="8"/>
      <c r="Q25" s="1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4" t="s">
        <v>131</v>
      </c>
      <c r="B26" s="14"/>
      <c r="C26" s="15"/>
      <c r="D26" s="135"/>
      <c r="E26" s="135"/>
      <c r="F26" s="152"/>
      <c r="G26" s="135"/>
      <c r="H26" s="135"/>
      <c r="I26" s="135"/>
      <c r="J26" s="135"/>
      <c r="K26" s="135"/>
      <c r="L26" s="135"/>
      <c r="M26" s="135"/>
      <c r="N26" s="135"/>
      <c r="O26" s="135"/>
      <c r="P26" s="8"/>
      <c r="Q26" s="18"/>
      <c r="R26" s="8"/>
      <c r="S26" s="8"/>
      <c r="T26" s="8"/>
      <c r="U26" s="8"/>
      <c r="V26" s="8"/>
      <c r="W26" s="8"/>
      <c r="X26" s="8"/>
      <c r="Y26" s="8"/>
      <c r="Z26" s="8"/>
    </row>
    <row r="27">
      <c r="A27" s="144" t="s">
        <v>132</v>
      </c>
      <c r="B27" s="145" t="s">
        <v>133</v>
      </c>
      <c r="C27" s="145" t="s">
        <v>134</v>
      </c>
      <c r="D27" s="145" t="s">
        <v>135</v>
      </c>
      <c r="E27" s="145" t="s">
        <v>136</v>
      </c>
      <c r="F27" s="139" t="s">
        <v>17</v>
      </c>
      <c r="G27" s="140">
        <v>46228.0</v>
      </c>
      <c r="H27" s="139" t="s">
        <v>78</v>
      </c>
      <c r="I27" s="139" t="s">
        <v>17</v>
      </c>
      <c r="J27" s="140">
        <v>46229.0</v>
      </c>
      <c r="K27" s="139" t="s">
        <v>80</v>
      </c>
      <c r="L27" s="139" t="s">
        <v>17</v>
      </c>
      <c r="M27" s="140">
        <v>46230.0</v>
      </c>
      <c r="N27" s="139" t="s">
        <v>78</v>
      </c>
      <c r="O27" s="143"/>
      <c r="P27" s="8"/>
      <c r="Q27" s="1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3" t="s">
        <v>137</v>
      </c>
      <c r="B28" s="154" t="s">
        <v>138</v>
      </c>
      <c r="C28" s="154" t="s">
        <v>139</v>
      </c>
      <c r="D28" s="154" t="s">
        <v>140</v>
      </c>
      <c r="E28" s="154" t="s">
        <v>141</v>
      </c>
      <c r="F28" s="139" t="s">
        <v>17</v>
      </c>
      <c r="G28" s="140">
        <v>46228.0</v>
      </c>
      <c r="H28" s="139" t="s">
        <v>78</v>
      </c>
      <c r="I28" s="139" t="s">
        <v>17</v>
      </c>
      <c r="J28" s="140">
        <v>46229.0</v>
      </c>
      <c r="K28" s="139" t="s">
        <v>80</v>
      </c>
      <c r="L28" s="139" t="s">
        <v>17</v>
      </c>
      <c r="M28" s="140">
        <v>46230.0</v>
      </c>
      <c r="N28" s="139" t="s">
        <v>78</v>
      </c>
      <c r="O28" s="143"/>
      <c r="P28" s="8"/>
      <c r="Q28" s="1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5" t="s">
        <v>142</v>
      </c>
      <c r="B29" s="156" t="s">
        <v>143</v>
      </c>
      <c r="C29" s="156" t="s">
        <v>144</v>
      </c>
      <c r="D29" s="156" t="s">
        <v>145</v>
      </c>
      <c r="E29" s="156" t="s">
        <v>146</v>
      </c>
      <c r="F29" s="139" t="s">
        <v>17</v>
      </c>
      <c r="G29" s="140">
        <v>46228.0</v>
      </c>
      <c r="H29" s="139" t="s">
        <v>78</v>
      </c>
      <c r="I29" s="139" t="s">
        <v>17</v>
      </c>
      <c r="J29" s="140">
        <v>46229.0</v>
      </c>
      <c r="K29" s="139" t="s">
        <v>80</v>
      </c>
      <c r="L29" s="139" t="s">
        <v>17</v>
      </c>
      <c r="M29" s="140">
        <v>46230.0</v>
      </c>
      <c r="N29" s="139" t="s">
        <v>78</v>
      </c>
      <c r="O29" s="143"/>
      <c r="P29" s="157"/>
      <c r="Q29" s="18"/>
      <c r="R29" s="8"/>
      <c r="S29" s="8"/>
      <c r="T29" s="8"/>
      <c r="U29" s="8"/>
      <c r="V29" s="8"/>
      <c r="W29" s="8"/>
      <c r="X29" s="8"/>
      <c r="Y29" s="8"/>
      <c r="Z29" s="8"/>
    </row>
    <row r="30">
      <c r="A30" s="155" t="s">
        <v>147</v>
      </c>
      <c r="B30" s="156" t="s">
        <v>148</v>
      </c>
      <c r="C30" s="156" t="s">
        <v>149</v>
      </c>
      <c r="D30" s="156" t="s">
        <v>150</v>
      </c>
      <c r="E30" s="156" t="s">
        <v>151</v>
      </c>
      <c r="F30" s="139" t="s">
        <v>17</v>
      </c>
      <c r="G30" s="140">
        <v>46228.0</v>
      </c>
      <c r="H30" s="139" t="s">
        <v>78</v>
      </c>
      <c r="I30" s="139" t="s">
        <v>17</v>
      </c>
      <c r="J30" s="140">
        <v>46229.0</v>
      </c>
      <c r="K30" s="139" t="s">
        <v>80</v>
      </c>
      <c r="L30" s="139" t="s">
        <v>17</v>
      </c>
      <c r="M30" s="140">
        <v>46230.0</v>
      </c>
      <c r="N30" s="139" t="s">
        <v>78</v>
      </c>
      <c r="O30" s="143"/>
      <c r="P30" s="157"/>
      <c r="Q30" s="18"/>
      <c r="R30" s="8"/>
      <c r="S30" s="8"/>
      <c r="T30" s="8"/>
      <c r="U30" s="8"/>
      <c r="V30" s="8"/>
      <c r="W30" s="8"/>
      <c r="X30" s="8"/>
      <c r="Y30" s="8"/>
      <c r="Z30" s="8"/>
    </row>
    <row r="31">
      <c r="A31" s="158" t="s">
        <v>152</v>
      </c>
      <c r="B31" s="14"/>
      <c r="C31" s="15"/>
      <c r="D31" s="159"/>
      <c r="E31" s="159"/>
      <c r="F31" s="152"/>
      <c r="G31" s="160"/>
      <c r="H31" s="160"/>
      <c r="I31" s="160"/>
      <c r="J31" s="160"/>
      <c r="K31" s="160"/>
      <c r="L31" s="160"/>
      <c r="M31" s="160"/>
      <c r="N31" s="160"/>
      <c r="O31" s="160"/>
      <c r="P31" s="161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55" t="s">
        <v>153</v>
      </c>
      <c r="B32" s="163" t="s">
        <v>154</v>
      </c>
      <c r="C32" s="163" t="s">
        <v>155</v>
      </c>
      <c r="D32" s="163" t="s">
        <v>156</v>
      </c>
      <c r="E32" s="163" t="s">
        <v>157</v>
      </c>
      <c r="F32" s="139" t="s">
        <v>17</v>
      </c>
      <c r="G32" s="140">
        <v>46228.0</v>
      </c>
      <c r="H32" s="139" t="s">
        <v>78</v>
      </c>
      <c r="I32" s="139" t="s">
        <v>17</v>
      </c>
      <c r="J32" s="140">
        <v>46229.0</v>
      </c>
      <c r="K32" s="139" t="s">
        <v>80</v>
      </c>
      <c r="L32" s="139" t="s">
        <v>17</v>
      </c>
      <c r="M32" s="140">
        <v>46230.0</v>
      </c>
      <c r="N32" s="139" t="s">
        <v>78</v>
      </c>
      <c r="O32" s="164"/>
      <c r="P32" s="157"/>
      <c r="Q32" s="1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5" t="s">
        <v>158</v>
      </c>
      <c r="B33" s="163" t="s">
        <v>159</v>
      </c>
      <c r="C33" s="163" t="s">
        <v>160</v>
      </c>
      <c r="D33" s="163" t="s">
        <v>161</v>
      </c>
      <c r="E33" s="163" t="s">
        <v>162</v>
      </c>
      <c r="F33" s="139" t="s">
        <v>17</v>
      </c>
      <c r="G33" s="140">
        <v>46228.0</v>
      </c>
      <c r="H33" s="139" t="s">
        <v>78</v>
      </c>
      <c r="I33" s="139" t="s">
        <v>17</v>
      </c>
      <c r="J33" s="140">
        <v>46229.0</v>
      </c>
      <c r="K33" s="139" t="s">
        <v>80</v>
      </c>
      <c r="L33" s="139" t="s">
        <v>17</v>
      </c>
      <c r="M33" s="140">
        <v>46230.0</v>
      </c>
      <c r="N33" s="139" t="s">
        <v>78</v>
      </c>
      <c r="O33" s="164"/>
      <c r="P33" s="157"/>
      <c r="Q33" s="18"/>
      <c r="R33" s="8"/>
      <c r="S33" s="8"/>
      <c r="T33" s="8"/>
      <c r="U33" s="8"/>
      <c r="V33" s="8"/>
      <c r="W33" s="8"/>
      <c r="X33" s="8"/>
      <c r="Y33" s="8"/>
      <c r="Z33" s="8"/>
    </row>
    <row r="34">
      <c r="A34" s="155"/>
      <c r="B34" s="164"/>
      <c r="C34" s="164"/>
      <c r="D34" s="164"/>
      <c r="E34" s="164"/>
      <c r="F34" s="139"/>
      <c r="G34" s="140"/>
      <c r="H34" s="139"/>
      <c r="I34" s="139"/>
      <c r="J34" s="140"/>
      <c r="K34" s="139"/>
      <c r="L34" s="139"/>
      <c r="M34" s="140"/>
      <c r="N34" s="139"/>
      <c r="O34" s="164"/>
      <c r="P34" s="157"/>
      <c r="Q34" s="18"/>
      <c r="R34" s="8"/>
      <c r="S34" s="8"/>
      <c r="T34" s="8"/>
      <c r="U34" s="8"/>
      <c r="V34" s="8"/>
      <c r="W34" s="8"/>
      <c r="X34" s="8"/>
      <c r="Y34" s="8"/>
      <c r="Z34" s="8"/>
    </row>
    <row r="3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57"/>
      <c r="Q35" s="1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8"/>
      <c r="Q36" s="1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</sheetData>
  <mergeCells count="9">
    <mergeCell ref="A26:C26"/>
    <mergeCell ref="A31:C31"/>
    <mergeCell ref="B2:E2"/>
    <mergeCell ref="B3:E3"/>
    <mergeCell ref="B4:E4"/>
    <mergeCell ref="A11:B11"/>
    <mergeCell ref="A15:C15"/>
    <mergeCell ref="A18:C18"/>
    <mergeCell ref="A22:C22"/>
  </mergeCells>
  <dataValidations>
    <dataValidation type="list" allowBlank="1" showErrorMessage="1" sqref="G2:G3 J2:J3 M2:M3 G9 J9 M9 F12:F17 I12:I17 L12:L17 F18:G18 J18 M18 F19:F21 I19:I21 L19:L21 F22:G22 J22 M22 F23:F25 I23:I25 L23:L25 F26:G26 J26 M26 F27:F30 I27:I30 L27:L30 F31:G31 J31 M31 F32:F34 I32:I34 L32:L34 G35:G147 J35:J147 M35:M147">
      <formula1>$R$2:$R$5</formula1>
    </dataValidation>
  </dataValidations>
  <printOptions/>
  <pageMargins bottom="0.984027777777778" footer="0.0" header="0.0" left="0.74791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0.0"/>
    <col customWidth="1" min="4" max="4" width="34.63"/>
    <col customWidth="1" min="5" max="5" width="38.63"/>
    <col customWidth="1" min="6" max="6" width="9.38"/>
    <col customWidth="1" min="7" max="7" width="10.63" outlineLevel="1"/>
    <col customWidth="1" min="8" max="8" width="10.88" outlineLevel="1"/>
    <col customWidth="1" min="9" max="9" width="9.38"/>
    <col customWidth="1" min="10" max="10" width="10.63" outlineLevel="1"/>
    <col customWidth="1" min="11" max="11" width="9.88" outlineLevel="1"/>
    <col customWidth="1" min="12" max="12" width="9.38"/>
    <col customWidth="1" min="13" max="13" width="10.63" outlineLevel="1"/>
    <col customWidth="1" min="14" max="14" width="10.13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  <c r="T1" s="8"/>
      <c r="U1" s="8"/>
      <c r="V1" s="8"/>
      <c r="W1" s="8"/>
      <c r="X1" s="8"/>
      <c r="Y1" s="8"/>
      <c r="Z1" s="8"/>
    </row>
    <row r="2">
      <c r="A2" s="23" t="s">
        <v>3</v>
      </c>
      <c r="B2" s="25" t="s">
        <v>163</v>
      </c>
      <c r="C2" s="26"/>
      <c r="D2" s="26"/>
      <c r="E2" s="27"/>
      <c r="F2" s="29"/>
      <c r="G2" s="37"/>
      <c r="H2" s="8"/>
      <c r="I2" s="29"/>
      <c r="J2" s="37"/>
      <c r="K2" s="8"/>
      <c r="L2" s="29"/>
      <c r="M2" s="37"/>
      <c r="N2" s="8"/>
      <c r="O2" s="8"/>
      <c r="P2" s="8"/>
      <c r="Q2" s="18"/>
      <c r="R2" s="47" t="s">
        <v>17</v>
      </c>
      <c r="S2" s="47"/>
      <c r="T2" s="47"/>
      <c r="U2" s="47"/>
      <c r="V2" s="47"/>
      <c r="W2" s="47"/>
      <c r="X2" s="47"/>
      <c r="Y2" s="47"/>
      <c r="Z2" s="47"/>
    </row>
    <row r="3">
      <c r="A3" s="52" t="s">
        <v>20</v>
      </c>
      <c r="B3" s="53" t="s">
        <v>164</v>
      </c>
      <c r="C3" s="14"/>
      <c r="D3" s="14"/>
      <c r="E3" s="54"/>
      <c r="F3" s="29"/>
      <c r="G3" s="37"/>
      <c r="H3" s="8"/>
      <c r="I3" s="29"/>
      <c r="J3" s="37"/>
      <c r="K3" s="8"/>
      <c r="L3" s="29"/>
      <c r="M3" s="37"/>
      <c r="N3" s="8"/>
      <c r="O3" s="8"/>
      <c r="P3" s="8"/>
      <c r="Q3" s="18"/>
      <c r="R3" s="47" t="s">
        <v>30</v>
      </c>
      <c r="S3" s="47"/>
      <c r="T3" s="47"/>
      <c r="U3" s="47"/>
      <c r="V3" s="47"/>
      <c r="W3" s="47"/>
      <c r="X3" s="47"/>
      <c r="Y3" s="47"/>
      <c r="Z3" s="47"/>
    </row>
    <row r="4">
      <c r="A4" s="52" t="s">
        <v>31</v>
      </c>
      <c r="B4" s="71">
        <f>SUMPRODUCT(--(LEFT(A12:A28,3)="TC_"))</f>
        <v>13</v>
      </c>
      <c r="C4" s="14"/>
      <c r="D4" s="14"/>
      <c r="E4" s="54"/>
      <c r="F4" s="29"/>
      <c r="G4" s="37"/>
      <c r="H4" s="8"/>
      <c r="I4" s="29"/>
      <c r="J4" s="37"/>
      <c r="K4" s="8"/>
      <c r="L4" s="29"/>
      <c r="M4" s="37"/>
      <c r="N4" s="8"/>
      <c r="O4" s="8"/>
      <c r="P4" s="8"/>
      <c r="Q4" s="18"/>
      <c r="R4" s="47" t="s">
        <v>39</v>
      </c>
      <c r="S4" s="47"/>
      <c r="T4" s="47"/>
      <c r="U4" s="47"/>
      <c r="V4" s="47"/>
      <c r="W4" s="47"/>
      <c r="X4" s="47"/>
      <c r="Y4" s="47"/>
      <c r="Z4" s="47"/>
    </row>
    <row r="5">
      <c r="A5" s="83" t="s">
        <v>43</v>
      </c>
      <c r="B5" s="84" t="s">
        <v>17</v>
      </c>
      <c r="C5" s="84" t="s">
        <v>30</v>
      </c>
      <c r="D5" s="84" t="s">
        <v>39</v>
      </c>
      <c r="E5" s="85" t="s">
        <v>44</v>
      </c>
      <c r="F5" s="86"/>
      <c r="G5" s="86"/>
      <c r="H5" s="87"/>
      <c r="I5" s="86"/>
      <c r="J5" s="86"/>
      <c r="K5" s="87"/>
      <c r="L5" s="86"/>
      <c r="M5" s="86"/>
      <c r="N5" s="87"/>
      <c r="O5" s="87"/>
      <c r="P5" s="87"/>
      <c r="Q5" s="94"/>
      <c r="R5" s="47" t="s">
        <v>44</v>
      </c>
      <c r="S5" s="47"/>
      <c r="T5" s="47"/>
      <c r="U5" s="47"/>
      <c r="V5" s="47"/>
      <c r="W5" s="47"/>
      <c r="X5" s="47"/>
      <c r="Y5" s="47"/>
      <c r="Z5" s="47"/>
    </row>
    <row r="6">
      <c r="A6" s="83" t="s">
        <v>51</v>
      </c>
      <c r="B6" s="105">
        <f t="shared" ref="B6:E6" si="1">COUNTIF($F12:$F28,B5)</f>
        <v>13</v>
      </c>
      <c r="C6" s="105">
        <f t="shared" si="1"/>
        <v>0</v>
      </c>
      <c r="D6" s="105">
        <f t="shared" si="1"/>
        <v>0</v>
      </c>
      <c r="E6" s="107">
        <f t="shared" si="1"/>
        <v>0</v>
      </c>
      <c r="F6" s="109"/>
      <c r="G6" s="109"/>
      <c r="H6" s="87"/>
      <c r="I6" s="109"/>
      <c r="J6" s="109"/>
      <c r="K6" s="87"/>
      <c r="L6" s="109"/>
      <c r="M6" s="109"/>
      <c r="N6" s="87"/>
      <c r="O6" s="87"/>
      <c r="P6" s="87"/>
      <c r="Q6" s="94"/>
      <c r="R6" s="47"/>
      <c r="S6" s="47"/>
      <c r="T6" s="47"/>
      <c r="U6" s="47"/>
      <c r="V6" s="47"/>
      <c r="W6" s="47"/>
      <c r="X6" s="47"/>
      <c r="Y6" s="47"/>
      <c r="Z6" s="47"/>
    </row>
    <row r="7">
      <c r="A7" s="83" t="s">
        <v>56</v>
      </c>
      <c r="B7" s="105">
        <f t="shared" ref="B7:E7" si="2">COUNTIF($I12:$I28,B5)</f>
        <v>13</v>
      </c>
      <c r="C7" s="105">
        <f t="shared" si="2"/>
        <v>0</v>
      </c>
      <c r="D7" s="105">
        <f t="shared" si="2"/>
        <v>0</v>
      </c>
      <c r="E7" s="107">
        <f t="shared" si="2"/>
        <v>0</v>
      </c>
      <c r="F7" s="109"/>
      <c r="G7" s="109"/>
      <c r="H7" s="87"/>
      <c r="I7" s="109"/>
      <c r="J7" s="109"/>
      <c r="K7" s="87"/>
      <c r="L7" s="109"/>
      <c r="M7" s="109"/>
      <c r="N7" s="87"/>
      <c r="O7" s="87"/>
      <c r="P7" s="87"/>
      <c r="Q7" s="94"/>
      <c r="R7" s="47"/>
      <c r="S7" s="47"/>
      <c r="T7" s="47"/>
      <c r="U7" s="47"/>
      <c r="V7" s="47"/>
      <c r="W7" s="47"/>
      <c r="X7" s="47"/>
      <c r="Y7" s="47"/>
      <c r="Z7" s="47"/>
    </row>
    <row r="8">
      <c r="A8" s="113" t="s">
        <v>61</v>
      </c>
      <c r="B8" s="119">
        <f t="shared" ref="B8:E8" si="3">COUNTIF($L12:$L28,B5)</f>
        <v>13</v>
      </c>
      <c r="C8" s="119">
        <f t="shared" si="3"/>
        <v>0</v>
      </c>
      <c r="D8" s="119">
        <f t="shared" si="3"/>
        <v>0</v>
      </c>
      <c r="E8" s="121">
        <f t="shared" si="3"/>
        <v>0</v>
      </c>
      <c r="F8" s="109"/>
      <c r="G8" s="109"/>
      <c r="H8" s="87"/>
      <c r="I8" s="109"/>
      <c r="J8" s="109"/>
      <c r="K8" s="87"/>
      <c r="L8" s="109"/>
      <c r="M8" s="109"/>
      <c r="N8" s="87"/>
      <c r="O8" s="87"/>
      <c r="P8" s="87"/>
      <c r="Q8" s="94"/>
      <c r="R8" s="47"/>
      <c r="S8" s="47"/>
      <c r="T8" s="47"/>
      <c r="U8" s="47"/>
      <c r="V8" s="47"/>
      <c r="W8" s="47"/>
      <c r="X8" s="47"/>
      <c r="Y8" s="47"/>
      <c r="Z8" s="47"/>
    </row>
    <row r="9">
      <c r="A9" s="87"/>
      <c r="B9" s="87"/>
      <c r="C9" s="87"/>
      <c r="D9" s="87"/>
      <c r="E9" s="87"/>
      <c r="F9" s="109"/>
      <c r="G9" s="87"/>
      <c r="H9" s="87"/>
      <c r="I9" s="109"/>
      <c r="J9" s="87"/>
      <c r="K9" s="87"/>
      <c r="L9" s="109"/>
      <c r="M9" s="87"/>
      <c r="N9" s="87"/>
      <c r="O9" s="87"/>
      <c r="P9" s="87"/>
      <c r="Q9" s="94"/>
      <c r="R9" s="47"/>
      <c r="S9" s="47"/>
      <c r="T9" s="47"/>
      <c r="U9" s="47"/>
      <c r="V9" s="47"/>
      <c r="W9" s="47"/>
      <c r="X9" s="47"/>
      <c r="Y9" s="47"/>
      <c r="Z9" s="47"/>
    </row>
    <row r="10">
      <c r="A10" s="128" t="s">
        <v>63</v>
      </c>
      <c r="B10" s="128" t="s">
        <v>64</v>
      </c>
      <c r="C10" s="128" t="s">
        <v>65</v>
      </c>
      <c r="D10" s="128" t="s">
        <v>66</v>
      </c>
      <c r="E10" s="128" t="s">
        <v>67</v>
      </c>
      <c r="F10" s="128" t="s">
        <v>51</v>
      </c>
      <c r="G10" s="128" t="s">
        <v>68</v>
      </c>
      <c r="H10" s="128" t="s">
        <v>69</v>
      </c>
      <c r="I10" s="128" t="s">
        <v>56</v>
      </c>
      <c r="J10" s="128" t="s">
        <v>68</v>
      </c>
      <c r="K10" s="128" t="s">
        <v>69</v>
      </c>
      <c r="L10" s="128" t="s">
        <v>61</v>
      </c>
      <c r="M10" s="128" t="s">
        <v>68</v>
      </c>
      <c r="N10" s="128" t="s">
        <v>69</v>
      </c>
      <c r="O10" s="128" t="s">
        <v>70</v>
      </c>
      <c r="P10" s="47"/>
      <c r="Q10" s="130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34" t="s">
        <v>165</v>
      </c>
      <c r="B11" s="14"/>
      <c r="C11" s="1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47"/>
      <c r="Q11" s="136"/>
      <c r="R11" s="47"/>
      <c r="S11" s="47"/>
      <c r="T11" s="47"/>
      <c r="U11" s="47"/>
      <c r="V11" s="47"/>
      <c r="W11" s="47"/>
      <c r="X11" s="47"/>
      <c r="Y11" s="47"/>
      <c r="Z11" s="47"/>
    </row>
    <row r="12" outlineLevel="1">
      <c r="A12" s="137" t="s">
        <v>166</v>
      </c>
      <c r="B12" s="166" t="s">
        <v>167</v>
      </c>
      <c r="C12" s="166" t="s">
        <v>168</v>
      </c>
      <c r="D12" s="166" t="s">
        <v>169</v>
      </c>
      <c r="E12" s="166" t="s">
        <v>170</v>
      </c>
      <c r="F12" s="139" t="s">
        <v>17</v>
      </c>
      <c r="G12" s="140">
        <v>46228.0</v>
      </c>
      <c r="H12" s="139" t="s">
        <v>171</v>
      </c>
      <c r="I12" s="139" t="s">
        <v>17</v>
      </c>
      <c r="J12" s="140">
        <v>46229.0</v>
      </c>
      <c r="K12" s="139" t="s">
        <v>172</v>
      </c>
      <c r="L12" s="139" t="s">
        <v>17</v>
      </c>
      <c r="M12" s="140">
        <v>46230.0</v>
      </c>
      <c r="N12" s="139" t="s">
        <v>78</v>
      </c>
      <c r="O12" s="143"/>
      <c r="P12" s="47"/>
      <c r="Q12" s="18"/>
      <c r="R12" s="47"/>
      <c r="S12" s="47"/>
      <c r="T12" s="47"/>
      <c r="U12" s="47"/>
      <c r="V12" s="47"/>
      <c r="W12" s="47"/>
      <c r="X12" s="47"/>
      <c r="Y12" s="47"/>
      <c r="Z12" s="47"/>
    </row>
    <row r="13" outlineLevel="1">
      <c r="A13" s="144" t="s">
        <v>173</v>
      </c>
      <c r="B13" s="167" t="s">
        <v>174</v>
      </c>
      <c r="C13" s="166" t="s">
        <v>175</v>
      </c>
      <c r="D13" s="166" t="s">
        <v>176</v>
      </c>
      <c r="E13" s="167" t="s">
        <v>177</v>
      </c>
      <c r="F13" s="139" t="s">
        <v>17</v>
      </c>
      <c r="G13" s="140">
        <v>46228.0</v>
      </c>
      <c r="H13" s="139" t="s">
        <v>171</v>
      </c>
      <c r="I13" s="139" t="s">
        <v>17</v>
      </c>
      <c r="J13" s="140">
        <v>46229.0</v>
      </c>
      <c r="K13" s="139" t="s">
        <v>172</v>
      </c>
      <c r="L13" s="139" t="s">
        <v>17</v>
      </c>
      <c r="M13" s="140">
        <v>46230.0</v>
      </c>
      <c r="N13" s="139" t="s">
        <v>78</v>
      </c>
      <c r="O13" s="143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37" t="s">
        <v>178</v>
      </c>
      <c r="B14" s="167" t="s">
        <v>179</v>
      </c>
      <c r="C14" s="166" t="s">
        <v>180</v>
      </c>
      <c r="D14" s="166" t="s">
        <v>181</v>
      </c>
      <c r="E14" s="167" t="s">
        <v>182</v>
      </c>
      <c r="F14" s="139" t="s">
        <v>17</v>
      </c>
      <c r="G14" s="140">
        <v>46228.0</v>
      </c>
      <c r="H14" s="139" t="s">
        <v>171</v>
      </c>
      <c r="I14" s="139" t="s">
        <v>17</v>
      </c>
      <c r="J14" s="140">
        <v>46229.0</v>
      </c>
      <c r="K14" s="139" t="s">
        <v>172</v>
      </c>
      <c r="L14" s="139" t="s">
        <v>17</v>
      </c>
      <c r="M14" s="140">
        <v>46230.0</v>
      </c>
      <c r="N14" s="139" t="s">
        <v>78</v>
      </c>
      <c r="O14" s="143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44" t="s">
        <v>183</v>
      </c>
      <c r="B15" s="166" t="s">
        <v>184</v>
      </c>
      <c r="C15" s="166" t="s">
        <v>185</v>
      </c>
      <c r="D15" s="166" t="s">
        <v>186</v>
      </c>
      <c r="E15" s="166" t="s">
        <v>187</v>
      </c>
      <c r="F15" s="139" t="s">
        <v>17</v>
      </c>
      <c r="G15" s="140">
        <v>46228.0</v>
      </c>
      <c r="H15" s="139" t="s">
        <v>171</v>
      </c>
      <c r="I15" s="139" t="s">
        <v>17</v>
      </c>
      <c r="J15" s="140">
        <v>46229.0</v>
      </c>
      <c r="K15" s="139" t="s">
        <v>172</v>
      </c>
      <c r="L15" s="139" t="s">
        <v>17</v>
      </c>
      <c r="M15" s="140">
        <v>46230.0</v>
      </c>
      <c r="N15" s="139" t="s">
        <v>78</v>
      </c>
      <c r="O15" s="143"/>
      <c r="P15" s="8"/>
      <c r="Q15" s="18"/>
      <c r="R15" s="8"/>
      <c r="S15" s="8"/>
      <c r="T15" s="8"/>
      <c r="U15" s="8"/>
      <c r="V15" s="8"/>
      <c r="W15" s="8"/>
      <c r="X15" s="8"/>
      <c r="Y15" s="8"/>
      <c r="Z15" s="8"/>
    </row>
    <row r="16" outlineLevel="1">
      <c r="A16" s="137" t="s">
        <v>188</v>
      </c>
      <c r="B16" s="166" t="s">
        <v>189</v>
      </c>
      <c r="C16" s="166" t="s">
        <v>190</v>
      </c>
      <c r="D16" s="166" t="s">
        <v>191</v>
      </c>
      <c r="E16" s="166" t="s">
        <v>192</v>
      </c>
      <c r="F16" s="139" t="s">
        <v>17</v>
      </c>
      <c r="G16" s="140">
        <v>46228.0</v>
      </c>
      <c r="H16" s="139" t="s">
        <v>171</v>
      </c>
      <c r="I16" s="139" t="s">
        <v>17</v>
      </c>
      <c r="J16" s="140">
        <v>46229.0</v>
      </c>
      <c r="K16" s="139" t="s">
        <v>172</v>
      </c>
      <c r="L16" s="139" t="s">
        <v>17</v>
      </c>
      <c r="M16" s="140">
        <v>46230.0</v>
      </c>
      <c r="N16" s="139" t="s">
        <v>78</v>
      </c>
      <c r="O16" s="143"/>
      <c r="P16" s="8"/>
      <c r="Q16" s="18"/>
      <c r="R16" s="8"/>
      <c r="S16" s="8"/>
      <c r="T16" s="8"/>
      <c r="U16" s="8"/>
      <c r="V16" s="8"/>
      <c r="W16" s="8"/>
      <c r="X16" s="8"/>
      <c r="Y16" s="8"/>
      <c r="Z16" s="8"/>
    </row>
    <row r="17" outlineLevel="1">
      <c r="A17" s="137" t="s">
        <v>193</v>
      </c>
      <c r="B17" s="166" t="s">
        <v>194</v>
      </c>
      <c r="C17" s="166" t="s">
        <v>195</v>
      </c>
      <c r="D17" s="166" t="s">
        <v>196</v>
      </c>
      <c r="E17" s="166" t="s">
        <v>197</v>
      </c>
      <c r="F17" s="139" t="s">
        <v>17</v>
      </c>
      <c r="G17" s="140">
        <v>46228.0</v>
      </c>
      <c r="H17" s="139" t="s">
        <v>171</v>
      </c>
      <c r="I17" s="139" t="s">
        <v>17</v>
      </c>
      <c r="J17" s="140">
        <v>46229.0</v>
      </c>
      <c r="K17" s="139" t="s">
        <v>172</v>
      </c>
      <c r="L17" s="139" t="s">
        <v>17</v>
      </c>
      <c r="M17" s="140">
        <v>46230.0</v>
      </c>
      <c r="N17" s="139" t="s">
        <v>78</v>
      </c>
      <c r="O17" s="143"/>
      <c r="P17" s="8"/>
      <c r="Q17" s="18"/>
      <c r="R17" s="8"/>
      <c r="S17" s="8"/>
      <c r="T17" s="8"/>
      <c r="U17" s="8"/>
      <c r="V17" s="8"/>
      <c r="W17" s="8"/>
      <c r="X17" s="8"/>
      <c r="Y17" s="8"/>
      <c r="Z17" s="8"/>
    </row>
    <row r="18" outlineLevel="1">
      <c r="A18" s="134" t="s">
        <v>198</v>
      </c>
      <c r="B18" s="14"/>
      <c r="C18" s="1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8"/>
      <c r="Q18" s="1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7" t="s">
        <v>199</v>
      </c>
      <c r="B19" s="138" t="s">
        <v>200</v>
      </c>
      <c r="C19" s="138" t="s">
        <v>201</v>
      </c>
      <c r="D19" s="138" t="s">
        <v>202</v>
      </c>
      <c r="E19" s="138" t="s">
        <v>203</v>
      </c>
      <c r="F19" s="139" t="s">
        <v>17</v>
      </c>
      <c r="G19" s="140">
        <v>46228.0</v>
      </c>
      <c r="H19" s="139" t="s">
        <v>171</v>
      </c>
      <c r="I19" s="139" t="s">
        <v>17</v>
      </c>
      <c r="J19" s="140">
        <v>46229.0</v>
      </c>
      <c r="K19" s="139" t="s">
        <v>172</v>
      </c>
      <c r="L19" s="139" t="s">
        <v>17</v>
      </c>
      <c r="M19" s="140">
        <v>46230.0</v>
      </c>
      <c r="N19" s="139" t="s">
        <v>78</v>
      </c>
      <c r="O19" s="143"/>
      <c r="P19" s="47"/>
      <c r="Q19" s="136"/>
      <c r="R19" s="47"/>
      <c r="S19" s="47"/>
      <c r="T19" s="47"/>
      <c r="U19" s="47"/>
      <c r="V19" s="47"/>
      <c r="W19" s="47"/>
      <c r="X19" s="47"/>
      <c r="Y19" s="47"/>
      <c r="Z19" s="47"/>
    </row>
    <row r="20" outlineLevel="1">
      <c r="A20" s="137" t="s">
        <v>204</v>
      </c>
      <c r="B20" s="145" t="s">
        <v>205</v>
      </c>
      <c r="C20" s="145" t="s">
        <v>206</v>
      </c>
      <c r="D20" s="145" t="s">
        <v>207</v>
      </c>
      <c r="E20" s="145" t="s">
        <v>208</v>
      </c>
      <c r="F20" s="139" t="s">
        <v>17</v>
      </c>
      <c r="G20" s="140">
        <v>46228.0</v>
      </c>
      <c r="H20" s="139" t="s">
        <v>171</v>
      </c>
      <c r="I20" s="139" t="s">
        <v>17</v>
      </c>
      <c r="J20" s="140">
        <v>46229.0</v>
      </c>
      <c r="K20" s="139" t="s">
        <v>172</v>
      </c>
      <c r="L20" s="139" t="s">
        <v>17</v>
      </c>
      <c r="M20" s="140">
        <v>46230.0</v>
      </c>
      <c r="N20" s="139" t="s">
        <v>78</v>
      </c>
      <c r="O20" s="143"/>
      <c r="P20" s="8"/>
      <c r="Q20" s="18"/>
      <c r="R20" s="8"/>
      <c r="S20" s="8"/>
      <c r="T20" s="8"/>
      <c r="U20" s="8"/>
      <c r="V20" s="8"/>
      <c r="W20" s="8"/>
      <c r="X20" s="8"/>
      <c r="Y20" s="8"/>
      <c r="Z20" s="8"/>
    </row>
    <row r="21" outlineLevel="1">
      <c r="A21" s="137" t="s">
        <v>209</v>
      </c>
      <c r="B21" s="138" t="s">
        <v>210</v>
      </c>
      <c r="C21" s="138" t="s">
        <v>211</v>
      </c>
      <c r="D21" s="138" t="s">
        <v>212</v>
      </c>
      <c r="E21" s="138" t="s">
        <v>213</v>
      </c>
      <c r="F21" s="139" t="s">
        <v>17</v>
      </c>
      <c r="G21" s="140">
        <v>46228.0</v>
      </c>
      <c r="H21" s="139" t="s">
        <v>171</v>
      </c>
      <c r="I21" s="139" t="s">
        <v>17</v>
      </c>
      <c r="J21" s="140">
        <v>46229.0</v>
      </c>
      <c r="K21" s="139" t="s">
        <v>172</v>
      </c>
      <c r="L21" s="139" t="s">
        <v>17</v>
      </c>
      <c r="M21" s="140">
        <v>46230.0</v>
      </c>
      <c r="N21" s="139" t="s">
        <v>78</v>
      </c>
      <c r="O21" s="143"/>
      <c r="P21" s="8"/>
      <c r="Q21" s="1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7" t="s">
        <v>214</v>
      </c>
      <c r="B22" s="145" t="s">
        <v>215</v>
      </c>
      <c r="C22" s="145" t="s">
        <v>216</v>
      </c>
      <c r="D22" s="145" t="s">
        <v>217</v>
      </c>
      <c r="E22" s="145" t="s">
        <v>218</v>
      </c>
      <c r="F22" s="139" t="s">
        <v>17</v>
      </c>
      <c r="G22" s="140">
        <v>46228.0</v>
      </c>
      <c r="H22" s="139" t="s">
        <v>171</v>
      </c>
      <c r="I22" s="139" t="s">
        <v>17</v>
      </c>
      <c r="J22" s="140">
        <v>46229.0</v>
      </c>
      <c r="K22" s="139" t="s">
        <v>172</v>
      </c>
      <c r="L22" s="139" t="s">
        <v>17</v>
      </c>
      <c r="M22" s="140">
        <v>46230.0</v>
      </c>
      <c r="N22" s="139" t="s">
        <v>78</v>
      </c>
      <c r="O22" s="143"/>
      <c r="P22" s="8"/>
      <c r="Q22" s="1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7" t="s">
        <v>219</v>
      </c>
      <c r="B23" s="138" t="s">
        <v>220</v>
      </c>
      <c r="C23" s="138" t="s">
        <v>221</v>
      </c>
      <c r="D23" s="138" t="s">
        <v>222</v>
      </c>
      <c r="E23" s="138" t="s">
        <v>223</v>
      </c>
      <c r="F23" s="139" t="s">
        <v>17</v>
      </c>
      <c r="G23" s="140">
        <v>46228.0</v>
      </c>
      <c r="H23" s="139" t="s">
        <v>171</v>
      </c>
      <c r="I23" s="139" t="s">
        <v>17</v>
      </c>
      <c r="J23" s="140">
        <v>46229.0</v>
      </c>
      <c r="K23" s="139" t="s">
        <v>172</v>
      </c>
      <c r="L23" s="139" t="s">
        <v>17</v>
      </c>
      <c r="M23" s="140">
        <v>46230.0</v>
      </c>
      <c r="N23" s="139" t="s">
        <v>78</v>
      </c>
      <c r="O23" s="143"/>
      <c r="P23" s="8"/>
      <c r="Q23" s="1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4" t="s">
        <v>224</v>
      </c>
      <c r="B24" s="14"/>
      <c r="C24" s="1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8"/>
      <c r="Q24" s="1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7" t="s">
        <v>225</v>
      </c>
      <c r="B25" s="138" t="s">
        <v>226</v>
      </c>
      <c r="C25" s="138" t="s">
        <v>227</v>
      </c>
      <c r="D25" s="138" t="s">
        <v>228</v>
      </c>
      <c r="E25" s="138" t="s">
        <v>229</v>
      </c>
      <c r="F25" s="139" t="s">
        <v>17</v>
      </c>
      <c r="G25" s="140">
        <v>46228.0</v>
      </c>
      <c r="H25" s="139" t="s">
        <v>171</v>
      </c>
      <c r="I25" s="139" t="s">
        <v>17</v>
      </c>
      <c r="J25" s="140">
        <v>46229.0</v>
      </c>
      <c r="K25" s="139" t="s">
        <v>172</v>
      </c>
      <c r="L25" s="139" t="s">
        <v>17</v>
      </c>
      <c r="M25" s="140">
        <v>46230.0</v>
      </c>
      <c r="N25" s="139" t="s">
        <v>78</v>
      </c>
      <c r="O25" s="143"/>
      <c r="P25" s="8"/>
      <c r="Q25" s="1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7" t="s">
        <v>230</v>
      </c>
      <c r="B26" s="138" t="s">
        <v>231</v>
      </c>
      <c r="C26" s="138" t="s">
        <v>232</v>
      </c>
      <c r="D26" s="138" t="s">
        <v>233</v>
      </c>
      <c r="E26" s="138" t="s">
        <v>234</v>
      </c>
      <c r="F26" s="139" t="s">
        <v>17</v>
      </c>
      <c r="G26" s="140">
        <v>46228.0</v>
      </c>
      <c r="H26" s="139" t="s">
        <v>171</v>
      </c>
      <c r="I26" s="139" t="s">
        <v>17</v>
      </c>
      <c r="J26" s="140">
        <v>46229.0</v>
      </c>
      <c r="K26" s="139" t="s">
        <v>172</v>
      </c>
      <c r="L26" s="139" t="s">
        <v>17</v>
      </c>
      <c r="M26" s="140">
        <v>46230.0</v>
      </c>
      <c r="N26" s="139" t="s">
        <v>78</v>
      </c>
      <c r="O26" s="143"/>
      <c r="P26" s="8"/>
      <c r="Q26" s="1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7"/>
      <c r="B27" s="138"/>
      <c r="C27" s="138"/>
      <c r="D27" s="138"/>
      <c r="E27" s="138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8"/>
      <c r="Q27" s="18"/>
      <c r="R27" s="8"/>
      <c r="S27" s="8"/>
      <c r="T27" s="8"/>
      <c r="U27" s="8"/>
      <c r="V27" s="8"/>
      <c r="W27" s="8"/>
      <c r="X27" s="8"/>
      <c r="Y27" s="8"/>
      <c r="Z27" s="8"/>
    </row>
    <row r="28">
      <c r="A28" s="144"/>
      <c r="B28" s="145"/>
      <c r="C28" s="145"/>
      <c r="D28" s="145"/>
      <c r="E28" s="145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8"/>
      <c r="Q28" s="1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</sheetData>
  <mergeCells count="6">
    <mergeCell ref="B2:E2"/>
    <mergeCell ref="B3:E3"/>
    <mergeCell ref="B4:E4"/>
    <mergeCell ref="A11:C11"/>
    <mergeCell ref="A18:C18"/>
    <mergeCell ref="A24:C24"/>
  </mergeCells>
  <dataValidations>
    <dataValidation type="list" allowBlank="1" showErrorMessage="1" sqref="G2:G3 J2:J3 M2:M3 G9 J9 M9 F12:F23 I12:I23 L12:L23 G24 J24 M24 F25:F26 I25:I26 L25:L26 G27:G144 J27:J144 M27:M144">
      <formula1>$R$2:$R$5</formula1>
    </dataValidation>
  </dataValidations>
  <printOptions/>
  <pageMargins bottom="0.984027777777778" footer="0.0" header="0.0" left="0.74791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6.25"/>
    <col customWidth="1" min="4" max="4" width="42.25"/>
    <col customWidth="1" min="5" max="5" width="48.0"/>
    <col customWidth="1" min="6" max="6" width="9.38"/>
    <col customWidth="1" min="7" max="7" width="10.63" outlineLevel="1"/>
    <col customWidth="1" min="8" max="8" width="9.75" outlineLevel="1"/>
    <col customWidth="1" min="9" max="9" width="9.38"/>
    <col customWidth="1" min="10" max="10" width="10.63" outlineLevel="1"/>
    <col customWidth="1" min="11" max="11" width="10.25" outlineLevel="1"/>
    <col customWidth="1" min="12" max="12" width="9.38"/>
    <col customWidth="1" min="13" max="13" width="10.63" outlineLevel="1"/>
    <col customWidth="1" min="14" max="14" width="11.13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  <c r="T1" s="8"/>
      <c r="U1" s="8"/>
      <c r="V1" s="8"/>
      <c r="W1" s="8"/>
      <c r="X1" s="8"/>
      <c r="Y1" s="8"/>
      <c r="Z1" s="8"/>
    </row>
    <row r="2">
      <c r="A2" s="23" t="s">
        <v>3</v>
      </c>
      <c r="B2" s="25" t="s">
        <v>235</v>
      </c>
      <c r="C2" s="26"/>
      <c r="D2" s="26"/>
      <c r="E2" s="27"/>
      <c r="F2" s="29"/>
      <c r="G2" s="37"/>
      <c r="H2" s="8"/>
      <c r="I2" s="29"/>
      <c r="J2" s="37"/>
      <c r="K2" s="8"/>
      <c r="L2" s="29"/>
      <c r="M2" s="37"/>
      <c r="N2" s="8"/>
      <c r="O2" s="8"/>
      <c r="P2" s="8"/>
      <c r="Q2" s="18"/>
      <c r="R2" s="47" t="s">
        <v>17</v>
      </c>
      <c r="S2" s="47"/>
      <c r="T2" s="47"/>
      <c r="U2" s="47"/>
      <c r="V2" s="47"/>
      <c r="W2" s="47"/>
      <c r="X2" s="47"/>
      <c r="Y2" s="47"/>
      <c r="Z2" s="47"/>
    </row>
    <row r="3">
      <c r="A3" s="52" t="s">
        <v>20</v>
      </c>
      <c r="B3" s="53" t="s">
        <v>236</v>
      </c>
      <c r="C3" s="14"/>
      <c r="D3" s="14"/>
      <c r="E3" s="54"/>
      <c r="F3" s="29"/>
      <c r="G3" s="37"/>
      <c r="H3" s="8"/>
      <c r="I3" s="29"/>
      <c r="J3" s="37"/>
      <c r="K3" s="8"/>
      <c r="L3" s="29"/>
      <c r="M3" s="37"/>
      <c r="N3" s="8"/>
      <c r="O3" s="8"/>
      <c r="P3" s="8"/>
      <c r="Q3" s="18"/>
      <c r="R3" s="47" t="s">
        <v>30</v>
      </c>
      <c r="S3" s="47"/>
      <c r="T3" s="47"/>
      <c r="U3" s="47"/>
      <c r="V3" s="47"/>
      <c r="W3" s="47"/>
      <c r="X3" s="47"/>
      <c r="Y3" s="47"/>
      <c r="Z3" s="47"/>
    </row>
    <row r="4">
      <c r="A4" s="52" t="s">
        <v>31</v>
      </c>
      <c r="B4" s="71">
        <f>SUMPRODUCT(--(LEFT(A12:A35,3)="TC_"))</f>
        <v>19</v>
      </c>
      <c r="C4" s="14"/>
      <c r="D4" s="14"/>
      <c r="E4" s="54"/>
      <c r="F4" s="29"/>
      <c r="G4" s="37"/>
      <c r="H4" s="8"/>
      <c r="I4" s="29"/>
      <c r="J4" s="37"/>
      <c r="K4" s="8"/>
      <c r="L4" s="29"/>
      <c r="M4" s="37"/>
      <c r="N4" s="8"/>
      <c r="O4" s="8"/>
      <c r="P4" s="8"/>
      <c r="Q4" s="18"/>
      <c r="R4" s="47" t="s">
        <v>39</v>
      </c>
      <c r="S4" s="47"/>
      <c r="T4" s="47"/>
      <c r="U4" s="47"/>
      <c r="V4" s="47"/>
      <c r="W4" s="47"/>
      <c r="X4" s="47"/>
      <c r="Y4" s="47"/>
      <c r="Z4" s="47"/>
    </row>
    <row r="5">
      <c r="A5" s="83" t="s">
        <v>43</v>
      </c>
      <c r="B5" s="84" t="s">
        <v>17</v>
      </c>
      <c r="C5" s="84" t="s">
        <v>30</v>
      </c>
      <c r="D5" s="84" t="s">
        <v>39</v>
      </c>
      <c r="E5" s="85" t="s">
        <v>44</v>
      </c>
      <c r="F5" s="86"/>
      <c r="G5" s="86"/>
      <c r="H5" s="87"/>
      <c r="I5" s="86"/>
      <c r="J5" s="86"/>
      <c r="K5" s="87"/>
      <c r="L5" s="86"/>
      <c r="M5" s="86"/>
      <c r="N5" s="87"/>
      <c r="O5" s="87"/>
      <c r="P5" s="87"/>
      <c r="Q5" s="94"/>
      <c r="R5" s="47" t="s">
        <v>44</v>
      </c>
      <c r="S5" s="47"/>
      <c r="T5" s="47"/>
      <c r="U5" s="47"/>
      <c r="V5" s="47"/>
      <c r="W5" s="47"/>
      <c r="X5" s="47"/>
      <c r="Y5" s="47"/>
      <c r="Z5" s="47"/>
    </row>
    <row r="6">
      <c r="A6" s="83" t="s">
        <v>51</v>
      </c>
      <c r="B6" s="105">
        <f>COUNTIF($F12:$F35,B5)</f>
        <v>19</v>
      </c>
      <c r="C6" s="105">
        <f t="shared" ref="C6:E6" si="1">COUNTIF($F12:$F32,C5)</f>
        <v>0</v>
      </c>
      <c r="D6" s="105">
        <f t="shared" si="1"/>
        <v>0</v>
      </c>
      <c r="E6" s="107">
        <f t="shared" si="1"/>
        <v>0</v>
      </c>
      <c r="F6" s="109"/>
      <c r="G6" s="109"/>
      <c r="H6" s="87"/>
      <c r="I6" s="109"/>
      <c r="J6" s="109"/>
      <c r="K6" s="87"/>
      <c r="L6" s="109"/>
      <c r="M6" s="109"/>
      <c r="N6" s="87"/>
      <c r="O6" s="87"/>
      <c r="P6" s="87"/>
      <c r="Q6" s="94"/>
      <c r="R6" s="47"/>
      <c r="S6" s="47"/>
      <c r="T6" s="47"/>
      <c r="U6" s="47"/>
      <c r="V6" s="47"/>
      <c r="W6" s="47"/>
      <c r="X6" s="47"/>
      <c r="Y6" s="47"/>
      <c r="Z6" s="47"/>
    </row>
    <row r="7">
      <c r="A7" s="83" t="s">
        <v>56</v>
      </c>
      <c r="B7" s="105">
        <f>COUNTIF($I12:$I35,B5)</f>
        <v>19</v>
      </c>
      <c r="C7" s="105">
        <f t="shared" ref="C7:E7" si="2">COUNTIF($I12:$I32,C5)</f>
        <v>0</v>
      </c>
      <c r="D7" s="105">
        <f t="shared" si="2"/>
        <v>0</v>
      </c>
      <c r="E7" s="107">
        <f t="shared" si="2"/>
        <v>0</v>
      </c>
      <c r="F7" s="109"/>
      <c r="G7" s="109"/>
      <c r="H7" s="87"/>
      <c r="I7" s="109"/>
      <c r="J7" s="109"/>
      <c r="K7" s="87"/>
      <c r="L7" s="109"/>
      <c r="M7" s="109"/>
      <c r="N7" s="87"/>
      <c r="O7" s="87"/>
      <c r="P7" s="87"/>
      <c r="Q7" s="94"/>
      <c r="R7" s="47"/>
      <c r="S7" s="47"/>
      <c r="T7" s="47"/>
      <c r="U7" s="47"/>
      <c r="V7" s="47"/>
      <c r="W7" s="47"/>
      <c r="X7" s="47"/>
      <c r="Y7" s="47"/>
      <c r="Z7" s="47"/>
    </row>
    <row r="8">
      <c r="A8" s="113" t="s">
        <v>61</v>
      </c>
      <c r="B8" s="119">
        <f>COUNTIF($L12:$L35,B5)</f>
        <v>19</v>
      </c>
      <c r="C8" s="119">
        <f t="shared" ref="C8:E8" si="3">COUNTIF($L12:$L32,C5)</f>
        <v>0</v>
      </c>
      <c r="D8" s="119">
        <f t="shared" si="3"/>
        <v>0</v>
      </c>
      <c r="E8" s="121">
        <f t="shared" si="3"/>
        <v>0</v>
      </c>
      <c r="F8" s="109"/>
      <c r="G8" s="109"/>
      <c r="H8" s="87"/>
      <c r="I8" s="109"/>
      <c r="J8" s="109"/>
      <c r="K8" s="87"/>
      <c r="L8" s="109"/>
      <c r="M8" s="109"/>
      <c r="N8" s="87"/>
      <c r="O8" s="87"/>
      <c r="P8" s="87"/>
      <c r="Q8" s="94"/>
      <c r="R8" s="47"/>
      <c r="S8" s="47"/>
      <c r="T8" s="47"/>
      <c r="U8" s="47"/>
      <c r="V8" s="47"/>
      <c r="W8" s="47"/>
      <c r="X8" s="47"/>
      <c r="Y8" s="47"/>
      <c r="Z8" s="47"/>
    </row>
    <row r="9">
      <c r="A9" s="87"/>
      <c r="B9" s="87"/>
      <c r="C9" s="87"/>
      <c r="D9" s="87"/>
      <c r="E9" s="87"/>
      <c r="F9" s="109"/>
      <c r="G9" s="87"/>
      <c r="H9" s="87"/>
      <c r="I9" s="109"/>
      <c r="J9" s="87"/>
      <c r="K9" s="87"/>
      <c r="L9" s="109"/>
      <c r="M9" s="87"/>
      <c r="N9" s="87"/>
      <c r="O9" s="87"/>
      <c r="P9" s="87"/>
      <c r="Q9" s="94"/>
      <c r="R9" s="47"/>
      <c r="S9" s="47"/>
      <c r="T9" s="47"/>
      <c r="U9" s="47"/>
      <c r="V9" s="47"/>
      <c r="W9" s="47"/>
      <c r="X9" s="47"/>
      <c r="Y9" s="47"/>
      <c r="Z9" s="47"/>
    </row>
    <row r="10">
      <c r="A10" s="128" t="s">
        <v>63</v>
      </c>
      <c r="B10" s="128" t="s">
        <v>64</v>
      </c>
      <c r="C10" s="128" t="s">
        <v>65</v>
      </c>
      <c r="D10" s="128" t="s">
        <v>66</v>
      </c>
      <c r="E10" s="128" t="s">
        <v>67</v>
      </c>
      <c r="F10" s="128" t="s">
        <v>51</v>
      </c>
      <c r="G10" s="128" t="s">
        <v>68</v>
      </c>
      <c r="H10" s="128" t="s">
        <v>69</v>
      </c>
      <c r="I10" s="128" t="s">
        <v>56</v>
      </c>
      <c r="J10" s="128" t="s">
        <v>68</v>
      </c>
      <c r="K10" s="128" t="s">
        <v>69</v>
      </c>
      <c r="L10" s="128" t="s">
        <v>61</v>
      </c>
      <c r="M10" s="128" t="s">
        <v>68</v>
      </c>
      <c r="N10" s="128" t="s">
        <v>69</v>
      </c>
      <c r="O10" s="128" t="s">
        <v>70</v>
      </c>
      <c r="P10" s="47"/>
      <c r="Q10" s="130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34" t="s">
        <v>237</v>
      </c>
      <c r="B11" s="14"/>
      <c r="C11" s="1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47"/>
      <c r="Q11" s="136"/>
      <c r="R11" s="47"/>
      <c r="S11" s="47"/>
      <c r="T11" s="47"/>
      <c r="U11" s="47"/>
      <c r="V11" s="47"/>
      <c r="W11" s="47"/>
      <c r="X11" s="47"/>
      <c r="Y11" s="47"/>
      <c r="Z11" s="47"/>
    </row>
    <row r="12" outlineLevel="1">
      <c r="A12" s="137" t="s">
        <v>238</v>
      </c>
      <c r="B12" s="138" t="s">
        <v>239</v>
      </c>
      <c r="C12" s="138" t="s">
        <v>240</v>
      </c>
      <c r="D12" s="138" t="s">
        <v>241</v>
      </c>
      <c r="E12" s="138" t="s">
        <v>242</v>
      </c>
      <c r="F12" s="139" t="s">
        <v>17</v>
      </c>
      <c r="G12" s="140">
        <v>46228.0</v>
      </c>
      <c r="H12" s="139" t="s">
        <v>243</v>
      </c>
      <c r="I12" s="139" t="s">
        <v>17</v>
      </c>
      <c r="J12" s="140">
        <v>46229.0</v>
      </c>
      <c r="K12" s="139" t="s">
        <v>244</v>
      </c>
      <c r="L12" s="139" t="s">
        <v>17</v>
      </c>
      <c r="M12" s="140">
        <v>46230.0</v>
      </c>
      <c r="N12" s="139" t="s">
        <v>78</v>
      </c>
      <c r="O12" s="143"/>
      <c r="P12" s="47"/>
      <c r="Q12" s="18"/>
      <c r="R12" s="47"/>
      <c r="S12" s="47"/>
      <c r="T12" s="47"/>
      <c r="U12" s="47"/>
      <c r="V12" s="47"/>
      <c r="W12" s="47"/>
      <c r="X12" s="47"/>
      <c r="Y12" s="47"/>
      <c r="Z12" s="47"/>
    </row>
    <row r="13" outlineLevel="1">
      <c r="A13" s="144" t="s">
        <v>245</v>
      </c>
      <c r="B13" s="145" t="s">
        <v>246</v>
      </c>
      <c r="C13" s="145" t="s">
        <v>247</v>
      </c>
      <c r="D13" s="145" t="s">
        <v>248</v>
      </c>
      <c r="E13" s="145" t="s">
        <v>249</v>
      </c>
      <c r="F13" s="139" t="s">
        <v>17</v>
      </c>
      <c r="G13" s="140">
        <v>46228.0</v>
      </c>
      <c r="H13" s="139" t="s">
        <v>243</v>
      </c>
      <c r="I13" s="139" t="s">
        <v>17</v>
      </c>
      <c r="J13" s="140">
        <v>46229.0</v>
      </c>
      <c r="K13" s="139" t="s">
        <v>244</v>
      </c>
      <c r="L13" s="139" t="s">
        <v>17</v>
      </c>
      <c r="M13" s="140">
        <v>46230.0</v>
      </c>
      <c r="N13" s="139" t="s">
        <v>78</v>
      </c>
      <c r="O13" s="143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37" t="s">
        <v>250</v>
      </c>
      <c r="B14" s="138" t="s">
        <v>251</v>
      </c>
      <c r="C14" s="138" t="s">
        <v>252</v>
      </c>
      <c r="D14" s="138" t="s">
        <v>253</v>
      </c>
      <c r="E14" s="138" t="s">
        <v>254</v>
      </c>
      <c r="F14" s="139" t="s">
        <v>17</v>
      </c>
      <c r="G14" s="140">
        <v>46228.0</v>
      </c>
      <c r="H14" s="139" t="s">
        <v>243</v>
      </c>
      <c r="I14" s="139" t="s">
        <v>17</v>
      </c>
      <c r="J14" s="140">
        <v>46229.0</v>
      </c>
      <c r="K14" s="139" t="s">
        <v>244</v>
      </c>
      <c r="L14" s="139" t="s">
        <v>17</v>
      </c>
      <c r="M14" s="140">
        <v>46230.0</v>
      </c>
      <c r="N14" s="139" t="s">
        <v>78</v>
      </c>
      <c r="O14" s="143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37" t="s">
        <v>255</v>
      </c>
      <c r="B15" s="138" t="s">
        <v>256</v>
      </c>
      <c r="C15" s="138" t="s">
        <v>257</v>
      </c>
      <c r="D15" s="138" t="s">
        <v>258</v>
      </c>
      <c r="E15" s="138" t="s">
        <v>259</v>
      </c>
      <c r="F15" s="139" t="s">
        <v>17</v>
      </c>
      <c r="G15" s="140">
        <v>46228.0</v>
      </c>
      <c r="H15" s="139" t="s">
        <v>243</v>
      </c>
      <c r="I15" s="139" t="s">
        <v>17</v>
      </c>
      <c r="J15" s="140">
        <v>46229.0</v>
      </c>
      <c r="K15" s="139" t="s">
        <v>244</v>
      </c>
      <c r="L15" s="139" t="s">
        <v>17</v>
      </c>
      <c r="M15" s="140">
        <v>46230.0</v>
      </c>
      <c r="N15" s="139" t="s">
        <v>78</v>
      </c>
      <c r="O15" s="143"/>
      <c r="P15" s="8"/>
      <c r="Q15" s="18"/>
      <c r="R15" s="8"/>
      <c r="S15" s="8"/>
      <c r="T15" s="8"/>
      <c r="U15" s="8"/>
      <c r="V15" s="8"/>
      <c r="W15" s="8"/>
      <c r="X15" s="8"/>
      <c r="Y15" s="8"/>
      <c r="Z15" s="8"/>
    </row>
    <row r="16" outlineLevel="1">
      <c r="A16" s="134" t="s">
        <v>260</v>
      </c>
      <c r="B16" s="14"/>
      <c r="C16" s="15"/>
      <c r="D16" s="135"/>
      <c r="E16" s="135"/>
      <c r="F16" s="135"/>
      <c r="G16" s="135"/>
      <c r="H16" s="135"/>
      <c r="I16" s="135"/>
      <c r="J16" s="169"/>
      <c r="K16" s="135"/>
      <c r="L16" s="135"/>
      <c r="M16" s="135"/>
      <c r="N16" s="135"/>
      <c r="O16" s="135"/>
      <c r="P16" s="8"/>
      <c r="Q16" s="18"/>
      <c r="R16" s="8"/>
      <c r="S16" s="8"/>
      <c r="T16" s="8"/>
      <c r="U16" s="8"/>
      <c r="V16" s="8"/>
      <c r="W16" s="8"/>
      <c r="X16" s="8"/>
      <c r="Y16" s="8"/>
      <c r="Z16" s="8"/>
    </row>
    <row r="17" outlineLevel="1">
      <c r="A17" s="137" t="s">
        <v>261</v>
      </c>
      <c r="B17" s="138" t="s">
        <v>262</v>
      </c>
      <c r="C17" s="138" t="s">
        <v>263</v>
      </c>
      <c r="D17" s="138" t="s">
        <v>264</v>
      </c>
      <c r="E17" s="138" t="s">
        <v>265</v>
      </c>
      <c r="F17" s="139" t="s">
        <v>17</v>
      </c>
      <c r="G17" s="140">
        <v>46228.0</v>
      </c>
      <c r="H17" s="139" t="s">
        <v>243</v>
      </c>
      <c r="I17" s="139" t="s">
        <v>17</v>
      </c>
      <c r="J17" s="140">
        <v>46229.0</v>
      </c>
      <c r="K17" s="139" t="s">
        <v>244</v>
      </c>
      <c r="L17" s="139" t="s">
        <v>17</v>
      </c>
      <c r="M17" s="140">
        <v>46230.0</v>
      </c>
      <c r="N17" s="139" t="s">
        <v>78</v>
      </c>
      <c r="O17" s="143"/>
      <c r="P17" s="8"/>
      <c r="Q17" s="1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7" t="s">
        <v>266</v>
      </c>
      <c r="B18" s="145" t="s">
        <v>267</v>
      </c>
      <c r="C18" s="145" t="s">
        <v>268</v>
      </c>
      <c r="D18" s="145" t="s">
        <v>269</v>
      </c>
      <c r="E18" s="145" t="s">
        <v>270</v>
      </c>
      <c r="F18" s="139" t="s">
        <v>17</v>
      </c>
      <c r="G18" s="140">
        <v>46228.0</v>
      </c>
      <c r="H18" s="139" t="s">
        <v>243</v>
      </c>
      <c r="I18" s="139" t="s">
        <v>17</v>
      </c>
      <c r="J18" s="140">
        <v>46229.0</v>
      </c>
      <c r="K18" s="139" t="s">
        <v>244</v>
      </c>
      <c r="L18" s="139" t="s">
        <v>17</v>
      </c>
      <c r="M18" s="140">
        <v>46230.0</v>
      </c>
      <c r="N18" s="139" t="s">
        <v>78</v>
      </c>
      <c r="O18" s="143"/>
      <c r="P18" s="8"/>
      <c r="Q18" s="1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7" t="s">
        <v>271</v>
      </c>
      <c r="B19" s="145" t="s">
        <v>272</v>
      </c>
      <c r="C19" s="145" t="s">
        <v>273</v>
      </c>
      <c r="D19" s="145" t="s">
        <v>274</v>
      </c>
      <c r="E19" s="145" t="s">
        <v>275</v>
      </c>
      <c r="F19" s="139" t="s">
        <v>17</v>
      </c>
      <c r="G19" s="140">
        <v>46228.0</v>
      </c>
      <c r="H19" s="139" t="s">
        <v>243</v>
      </c>
      <c r="I19" s="139" t="s">
        <v>17</v>
      </c>
      <c r="J19" s="140">
        <v>46229.0</v>
      </c>
      <c r="K19" s="139" t="s">
        <v>244</v>
      </c>
      <c r="L19" s="139" t="s">
        <v>17</v>
      </c>
      <c r="M19" s="140">
        <v>46230.0</v>
      </c>
      <c r="N19" s="139" t="s">
        <v>78</v>
      </c>
      <c r="O19" s="143"/>
      <c r="P19" s="8"/>
      <c r="Q19" s="1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7" t="s">
        <v>276</v>
      </c>
      <c r="B20" s="145" t="s">
        <v>277</v>
      </c>
      <c r="C20" s="145" t="s">
        <v>278</v>
      </c>
      <c r="D20" s="145" t="s">
        <v>279</v>
      </c>
      <c r="E20" s="145" t="s">
        <v>280</v>
      </c>
      <c r="F20" s="139" t="s">
        <v>17</v>
      </c>
      <c r="G20" s="140">
        <v>46228.0</v>
      </c>
      <c r="H20" s="139" t="s">
        <v>243</v>
      </c>
      <c r="I20" s="139" t="s">
        <v>17</v>
      </c>
      <c r="J20" s="140">
        <v>46229.0</v>
      </c>
      <c r="K20" s="139" t="s">
        <v>244</v>
      </c>
      <c r="L20" s="139" t="s">
        <v>17</v>
      </c>
      <c r="M20" s="140">
        <v>46230.0</v>
      </c>
      <c r="N20" s="139" t="s">
        <v>78</v>
      </c>
      <c r="O20" s="143"/>
      <c r="P20" s="8"/>
      <c r="Q20" s="1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7" t="s">
        <v>281</v>
      </c>
      <c r="B21" s="138" t="s">
        <v>282</v>
      </c>
      <c r="C21" s="138" t="s">
        <v>283</v>
      </c>
      <c r="D21" s="138" t="s">
        <v>284</v>
      </c>
      <c r="E21" s="138" t="s">
        <v>285</v>
      </c>
      <c r="F21" s="139" t="s">
        <v>17</v>
      </c>
      <c r="G21" s="140">
        <v>46228.0</v>
      </c>
      <c r="H21" s="139" t="s">
        <v>243</v>
      </c>
      <c r="I21" s="139" t="s">
        <v>17</v>
      </c>
      <c r="J21" s="140">
        <v>46229.0</v>
      </c>
      <c r="K21" s="139" t="s">
        <v>244</v>
      </c>
      <c r="L21" s="139" t="s">
        <v>17</v>
      </c>
      <c r="M21" s="140">
        <v>46230.0</v>
      </c>
      <c r="N21" s="139" t="s">
        <v>78</v>
      </c>
      <c r="O21" s="143"/>
      <c r="P21" s="8"/>
      <c r="Q21" s="1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7" t="s">
        <v>286</v>
      </c>
      <c r="B22" s="138" t="s">
        <v>287</v>
      </c>
      <c r="C22" s="138" t="s">
        <v>288</v>
      </c>
      <c r="D22" s="138" t="s">
        <v>289</v>
      </c>
      <c r="E22" s="138" t="s">
        <v>290</v>
      </c>
      <c r="F22" s="139" t="s">
        <v>17</v>
      </c>
      <c r="G22" s="140">
        <v>46228.0</v>
      </c>
      <c r="H22" s="139" t="s">
        <v>243</v>
      </c>
      <c r="I22" s="139" t="s">
        <v>17</v>
      </c>
      <c r="J22" s="140">
        <v>46229.0</v>
      </c>
      <c r="K22" s="139" t="s">
        <v>244</v>
      </c>
      <c r="L22" s="139" t="s">
        <v>17</v>
      </c>
      <c r="M22" s="140">
        <v>46230.0</v>
      </c>
      <c r="N22" s="139" t="s">
        <v>78</v>
      </c>
      <c r="O22" s="143"/>
      <c r="P22" s="8"/>
      <c r="Q22" s="1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4" t="s">
        <v>291</v>
      </c>
      <c r="B23" s="14"/>
      <c r="C23" s="1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8"/>
      <c r="Q23" s="1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7" t="s">
        <v>292</v>
      </c>
      <c r="B24" s="138" t="s">
        <v>293</v>
      </c>
      <c r="C24" s="138" t="s">
        <v>294</v>
      </c>
      <c r="D24" s="138" t="s">
        <v>295</v>
      </c>
      <c r="E24" s="138" t="s">
        <v>296</v>
      </c>
      <c r="F24" s="139" t="s">
        <v>17</v>
      </c>
      <c r="G24" s="140">
        <v>46228.0</v>
      </c>
      <c r="H24" s="139" t="s">
        <v>243</v>
      </c>
      <c r="I24" s="139" t="s">
        <v>17</v>
      </c>
      <c r="J24" s="140">
        <v>46229.0</v>
      </c>
      <c r="K24" s="139" t="s">
        <v>244</v>
      </c>
      <c r="L24" s="139" t="s">
        <v>17</v>
      </c>
      <c r="M24" s="140">
        <v>46230.0</v>
      </c>
      <c r="N24" s="139" t="s">
        <v>78</v>
      </c>
      <c r="O24" s="143"/>
      <c r="P24" s="8"/>
      <c r="Q24" s="1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7" t="s">
        <v>297</v>
      </c>
      <c r="B25" s="145" t="s">
        <v>298</v>
      </c>
      <c r="C25" s="145" t="s">
        <v>299</v>
      </c>
      <c r="D25" s="145" t="s">
        <v>300</v>
      </c>
      <c r="E25" s="145" t="s">
        <v>301</v>
      </c>
      <c r="F25" s="139" t="s">
        <v>17</v>
      </c>
      <c r="G25" s="140">
        <v>46228.0</v>
      </c>
      <c r="H25" s="139" t="s">
        <v>243</v>
      </c>
      <c r="I25" s="139" t="s">
        <v>17</v>
      </c>
      <c r="J25" s="140">
        <v>46229.0</v>
      </c>
      <c r="K25" s="139" t="s">
        <v>244</v>
      </c>
      <c r="L25" s="139" t="s">
        <v>17</v>
      </c>
      <c r="M25" s="140">
        <v>46230.0</v>
      </c>
      <c r="N25" s="139" t="s">
        <v>78</v>
      </c>
      <c r="O25" s="143"/>
      <c r="P25" s="8"/>
      <c r="Q25" s="1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7" t="s">
        <v>302</v>
      </c>
      <c r="B26" s="138" t="s">
        <v>303</v>
      </c>
      <c r="C26" s="138" t="s">
        <v>304</v>
      </c>
      <c r="D26" s="138" t="s">
        <v>305</v>
      </c>
      <c r="E26" s="138" t="s">
        <v>306</v>
      </c>
      <c r="F26" s="139" t="s">
        <v>17</v>
      </c>
      <c r="G26" s="140">
        <v>46228.0</v>
      </c>
      <c r="H26" s="139" t="s">
        <v>243</v>
      </c>
      <c r="I26" s="139" t="s">
        <v>17</v>
      </c>
      <c r="J26" s="140">
        <v>46229.0</v>
      </c>
      <c r="K26" s="139" t="s">
        <v>244</v>
      </c>
      <c r="L26" s="139" t="s">
        <v>17</v>
      </c>
      <c r="M26" s="140">
        <v>46230.0</v>
      </c>
      <c r="N26" s="139" t="s">
        <v>78</v>
      </c>
      <c r="O26" s="143"/>
      <c r="P26" s="8"/>
      <c r="Q26" s="1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4" t="s">
        <v>307</v>
      </c>
      <c r="B27" s="14"/>
      <c r="C27" s="1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8"/>
      <c r="Q27" s="1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7" t="s">
        <v>308</v>
      </c>
      <c r="B28" s="138" t="s">
        <v>309</v>
      </c>
      <c r="C28" s="138" t="s">
        <v>310</v>
      </c>
      <c r="D28" s="138" t="s">
        <v>311</v>
      </c>
      <c r="E28" s="138" t="s">
        <v>312</v>
      </c>
      <c r="F28" s="139" t="s">
        <v>17</v>
      </c>
      <c r="G28" s="140">
        <v>46228.0</v>
      </c>
      <c r="H28" s="139" t="s">
        <v>243</v>
      </c>
      <c r="I28" s="139" t="s">
        <v>17</v>
      </c>
      <c r="J28" s="140">
        <v>46229.0</v>
      </c>
      <c r="K28" s="139" t="s">
        <v>244</v>
      </c>
      <c r="L28" s="139" t="s">
        <v>17</v>
      </c>
      <c r="M28" s="140">
        <v>46230.0</v>
      </c>
      <c r="N28" s="139" t="s">
        <v>78</v>
      </c>
      <c r="O28" s="143"/>
      <c r="P28" s="8"/>
      <c r="Q28" s="1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7" t="s">
        <v>313</v>
      </c>
      <c r="B29" s="145" t="s">
        <v>314</v>
      </c>
      <c r="C29" s="145" t="s">
        <v>315</v>
      </c>
      <c r="D29" s="145" t="s">
        <v>316</v>
      </c>
      <c r="E29" s="145" t="s">
        <v>317</v>
      </c>
      <c r="F29" s="139" t="s">
        <v>17</v>
      </c>
      <c r="G29" s="140">
        <v>46228.0</v>
      </c>
      <c r="H29" s="139" t="s">
        <v>243</v>
      </c>
      <c r="I29" s="139" t="s">
        <v>17</v>
      </c>
      <c r="J29" s="140">
        <v>46229.0</v>
      </c>
      <c r="K29" s="139" t="s">
        <v>244</v>
      </c>
      <c r="L29" s="139" t="s">
        <v>17</v>
      </c>
      <c r="M29" s="140">
        <v>46230.0</v>
      </c>
      <c r="N29" s="139" t="s">
        <v>78</v>
      </c>
      <c r="O29" s="143"/>
      <c r="P29" s="8"/>
      <c r="Q29" s="1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4" t="s">
        <v>318</v>
      </c>
      <c r="B30" s="14"/>
      <c r="C30" s="1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8"/>
      <c r="Q30" s="18"/>
      <c r="R30" s="8"/>
      <c r="S30" s="8"/>
      <c r="T30" s="8"/>
      <c r="U30" s="8"/>
      <c r="V30" s="8"/>
      <c r="W30" s="8"/>
      <c r="X30" s="8"/>
      <c r="Y30" s="8"/>
      <c r="Z30" s="8"/>
    </row>
    <row r="31">
      <c r="A31" s="144" t="s">
        <v>319</v>
      </c>
      <c r="B31" s="145" t="s">
        <v>320</v>
      </c>
      <c r="C31" s="145" t="s">
        <v>321</v>
      </c>
      <c r="D31" s="145" t="s">
        <v>322</v>
      </c>
      <c r="E31" s="145" t="s">
        <v>323</v>
      </c>
      <c r="F31" s="139" t="s">
        <v>17</v>
      </c>
      <c r="G31" s="140">
        <v>46228.0</v>
      </c>
      <c r="H31" s="139" t="s">
        <v>243</v>
      </c>
      <c r="I31" s="139" t="s">
        <v>17</v>
      </c>
      <c r="J31" s="140">
        <v>46229.0</v>
      </c>
      <c r="K31" s="139" t="s">
        <v>244</v>
      </c>
      <c r="L31" s="139" t="s">
        <v>17</v>
      </c>
      <c r="M31" s="140">
        <v>46230.0</v>
      </c>
      <c r="N31" s="139" t="s">
        <v>78</v>
      </c>
      <c r="O31" s="143"/>
      <c r="P31" s="8"/>
      <c r="Q31" s="18"/>
      <c r="R31" s="8"/>
      <c r="S31" s="8"/>
      <c r="T31" s="8"/>
      <c r="U31" s="8"/>
      <c r="V31" s="8"/>
      <c r="W31" s="8"/>
      <c r="X31" s="8"/>
      <c r="Y31" s="8"/>
      <c r="Z31" s="8"/>
    </row>
    <row r="32">
      <c r="A32" s="144" t="s">
        <v>324</v>
      </c>
      <c r="B32" s="138" t="s">
        <v>325</v>
      </c>
      <c r="C32" s="138" t="s">
        <v>326</v>
      </c>
      <c r="D32" s="138" t="s">
        <v>327</v>
      </c>
      <c r="E32" s="138" t="s">
        <v>328</v>
      </c>
      <c r="F32" s="139" t="s">
        <v>17</v>
      </c>
      <c r="G32" s="140">
        <v>46228.0</v>
      </c>
      <c r="H32" s="139" t="s">
        <v>243</v>
      </c>
      <c r="I32" s="139" t="s">
        <v>17</v>
      </c>
      <c r="J32" s="140">
        <v>46229.0</v>
      </c>
      <c r="K32" s="139" t="s">
        <v>244</v>
      </c>
      <c r="L32" s="139" t="s">
        <v>17</v>
      </c>
      <c r="M32" s="140">
        <v>46230.0</v>
      </c>
      <c r="N32" s="139" t="s">
        <v>78</v>
      </c>
      <c r="O32" s="143"/>
      <c r="P32" s="8"/>
      <c r="Q32" s="1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4" t="s">
        <v>329</v>
      </c>
      <c r="B33" s="138" t="s">
        <v>330</v>
      </c>
      <c r="C33" s="138" t="s">
        <v>331</v>
      </c>
      <c r="D33" s="138" t="s">
        <v>332</v>
      </c>
      <c r="E33" s="138" t="s">
        <v>333</v>
      </c>
      <c r="F33" s="139" t="s">
        <v>17</v>
      </c>
      <c r="G33" s="140">
        <v>46228.0</v>
      </c>
      <c r="H33" s="139" t="s">
        <v>243</v>
      </c>
      <c r="I33" s="139" t="s">
        <v>17</v>
      </c>
      <c r="J33" s="140">
        <v>46229.0</v>
      </c>
      <c r="K33" s="139" t="s">
        <v>244</v>
      </c>
      <c r="L33" s="139" t="s">
        <v>17</v>
      </c>
      <c r="M33" s="140">
        <v>46230.0</v>
      </c>
      <c r="N33" s="139" t="s">
        <v>78</v>
      </c>
      <c r="O33" s="170"/>
      <c r="P33" s="8"/>
      <c r="Q33" s="18"/>
      <c r="R33" s="8"/>
      <c r="S33" s="8"/>
      <c r="T33" s="8"/>
      <c r="U33" s="8"/>
      <c r="V33" s="8"/>
      <c r="W33" s="8"/>
      <c r="X33" s="8"/>
      <c r="Y33" s="8"/>
      <c r="Z33" s="8"/>
    </row>
    <row r="34">
      <c r="A34" s="171" t="s">
        <v>334</v>
      </c>
      <c r="D34" s="172"/>
      <c r="E34" s="172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4"/>
      <c r="Q34" s="175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44" t="s">
        <v>335</v>
      </c>
      <c r="B35" s="138" t="s">
        <v>336</v>
      </c>
      <c r="C35" s="138" t="s">
        <v>337</v>
      </c>
      <c r="D35" s="138" t="s">
        <v>338</v>
      </c>
      <c r="E35" s="138" t="s">
        <v>339</v>
      </c>
      <c r="F35" s="139" t="s">
        <v>17</v>
      </c>
      <c r="G35" s="140">
        <v>46228.0</v>
      </c>
      <c r="H35" s="139" t="s">
        <v>243</v>
      </c>
      <c r="I35" s="139" t="s">
        <v>17</v>
      </c>
      <c r="J35" s="140">
        <v>46229.0</v>
      </c>
      <c r="K35" s="139" t="s">
        <v>244</v>
      </c>
      <c r="L35" s="139" t="s">
        <v>17</v>
      </c>
      <c r="M35" s="140">
        <v>46230.0</v>
      </c>
      <c r="N35" s="139" t="s">
        <v>78</v>
      </c>
      <c r="O35" s="170"/>
      <c r="P35" s="8"/>
      <c r="Q35" s="18"/>
      <c r="R35" s="8"/>
      <c r="S35" s="8"/>
      <c r="T35" s="8"/>
      <c r="U35" s="8"/>
      <c r="V35" s="8"/>
      <c r="W35" s="8"/>
      <c r="X35" s="8"/>
      <c r="Y35" s="8"/>
      <c r="Z35" s="8"/>
    </row>
    <row r="36">
      <c r="A36" s="144"/>
      <c r="B36" s="176"/>
      <c r="C36" s="176"/>
      <c r="D36" s="176"/>
      <c r="E36" s="176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8"/>
      <c r="Q36" s="1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  <c r="Z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  <c r="Z1004" s="177"/>
    </row>
  </sheetData>
  <mergeCells count="9">
    <mergeCell ref="A30:C30"/>
    <mergeCell ref="A34:C34"/>
    <mergeCell ref="B2:E2"/>
    <mergeCell ref="B3:E3"/>
    <mergeCell ref="B4:E4"/>
    <mergeCell ref="A11:C11"/>
    <mergeCell ref="A16:C16"/>
    <mergeCell ref="A23:C23"/>
    <mergeCell ref="A27:C27"/>
  </mergeCells>
  <dataValidations>
    <dataValidation type="list" allowBlank="1" sqref="G2:G3 J2:J3 M2:M3 G9 J9 M9 F12:F22 I12:I22 L12:L22 G23 J23 M23 F24:F26 I24:I26 L24:L26 G27 J27 M27 F28:F29 I28:I29 L28:L29 G30 J30 M30 F31:F33 I31:I33 L31:L33 G34 J34 M34 F35 I35 L35 G36:G149 J36:J149 M36:M149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